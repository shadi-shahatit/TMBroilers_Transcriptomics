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ef4471e697f680/Desktop/qPCR_Liver/"/>
    </mc:Choice>
  </mc:AlternateContent>
  <xr:revisionPtr revIDLastSave="36" documentId="11_C68BAEC908696796CA94CFFC7A0E6A022C02EEDD" xr6:coauthVersionLast="47" xr6:coauthVersionMax="47" xr10:uidLastSave="{792A1C12-E620-4876-A3C5-22DF4C1E870E}"/>
  <bookViews>
    <workbookView xWindow="-108" yWindow="-108" windowWidth="23256" windowHeight="12456" activeTab="4" xr2:uid="{00000000-000D-0000-FFFF-FFFF00000000}"/>
  </bookViews>
  <sheets>
    <sheet name="COL15A1" sheetId="1" r:id="rId1"/>
    <sheet name="DNAJA4" sheetId="2" r:id="rId2"/>
    <sheet name="HSPH1" sheetId="4" r:id="rId3"/>
    <sheet name="LOC107049986" sheetId="5" r:id="rId4"/>
    <sheet name="GADD45G" sheetId="3" r:id="rId5"/>
    <sheet name="SPHKAP" sheetId="6" r:id="rId6"/>
    <sheet name="VGLL3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3" l="1"/>
  <c r="N5" i="3"/>
  <c r="M7" i="3"/>
  <c r="L6" i="3"/>
  <c r="M6" i="3" s="1"/>
  <c r="L7" i="3"/>
  <c r="L5" i="3"/>
  <c r="M5" i="3" s="1"/>
  <c r="L2" i="3"/>
  <c r="M2" i="3"/>
  <c r="O2" i="3"/>
  <c r="N2" i="3"/>
  <c r="L4" i="3"/>
  <c r="L3" i="3"/>
  <c r="M3" i="3"/>
  <c r="M4" i="3"/>
</calcChain>
</file>

<file path=xl/sharedStrings.xml><?xml version="1.0" encoding="utf-8"?>
<sst xmlns="http://schemas.openxmlformats.org/spreadsheetml/2006/main" count="162" uniqueCount="19">
  <si>
    <t>Name</t>
  </si>
  <si>
    <t>Replicate</t>
  </si>
  <si>
    <t>Ct1</t>
  </si>
  <si>
    <t>Ct2</t>
  </si>
  <si>
    <t>Target_gene_Ct_avg</t>
  </si>
  <si>
    <t>CT1</t>
  </si>
  <si>
    <t>CT2</t>
  </si>
  <si>
    <t>Housekeeping_Ct_avg</t>
  </si>
  <si>
    <t>ΔCt</t>
  </si>
  <si>
    <t>Mean_dCt</t>
  </si>
  <si>
    <t>SD_dct</t>
  </si>
  <si>
    <t>ΔΔCt</t>
  </si>
  <si>
    <t>2^-ΔΔCt</t>
  </si>
  <si>
    <t>Mean_2^-ddCt</t>
  </si>
  <si>
    <t>SD_2^-ddCt</t>
  </si>
  <si>
    <t>Con_N</t>
  </si>
  <si>
    <t>TM_N</t>
  </si>
  <si>
    <t>Con_AHS</t>
  </si>
  <si>
    <t>TM_AHS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</si>
</sst>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O13"/>
  <sheetViews>
    <sheetView workbookViewId="0"/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32.04</v>
      </c>
      <c r="D2">
        <v>29.25</v>
      </c>
      <c r="E2">
        <v>30.645</v>
      </c>
      <c r="F2">
        <v>18.87</v>
      </c>
      <c r="G2">
        <v>18.87</v>
      </c>
      <c r="H2">
        <v>18.87</v>
      </c>
      <c r="I2">
        <v>11.775</v>
      </c>
      <c r="J2">
        <v>12.4</v>
      </c>
      <c r="K2">
        <v>0.64867171974736182</v>
      </c>
      <c r="L2">
        <v>-0.625</v>
      </c>
      <c r="M2">
        <v>1.542210825407941</v>
      </c>
      <c r="N2">
        <v>1.0674668973234041</v>
      </c>
      <c r="O2">
        <v>0.4579019205827391</v>
      </c>
    </row>
    <row r="3" spans="1:15" x14ac:dyDescent="0.3">
      <c r="A3" t="s">
        <v>15</v>
      </c>
      <c r="B3">
        <v>2</v>
      </c>
      <c r="C3">
        <v>32.04</v>
      </c>
      <c r="D3">
        <v>31.84</v>
      </c>
      <c r="E3">
        <v>31.94</v>
      </c>
      <c r="F3">
        <v>18.87</v>
      </c>
      <c r="G3">
        <v>18.87</v>
      </c>
      <c r="H3">
        <v>18.87</v>
      </c>
      <c r="I3">
        <v>13.07</v>
      </c>
      <c r="J3">
        <v>12.4</v>
      </c>
      <c r="K3">
        <v>0.64867171974736182</v>
      </c>
      <c r="L3">
        <v>0.66999999999999993</v>
      </c>
      <c r="M3">
        <v>0.62850668726091419</v>
      </c>
      <c r="N3">
        <v>1.0674668973234041</v>
      </c>
      <c r="O3">
        <v>0.4579019205827391</v>
      </c>
    </row>
    <row r="4" spans="1:15" x14ac:dyDescent="0.3">
      <c r="A4" t="s">
        <v>15</v>
      </c>
      <c r="B4">
        <v>3</v>
      </c>
      <c r="C4">
        <v>31.52</v>
      </c>
      <c r="D4">
        <v>30.93</v>
      </c>
      <c r="E4">
        <v>31.225000000000001</v>
      </c>
      <c r="F4">
        <v>18.87</v>
      </c>
      <c r="G4">
        <v>18.87</v>
      </c>
      <c r="H4">
        <v>18.87</v>
      </c>
      <c r="I4">
        <v>12.355</v>
      </c>
      <c r="J4">
        <v>12.4</v>
      </c>
      <c r="K4">
        <v>0.64867171974736182</v>
      </c>
      <c r="L4">
        <v>-4.4999999999999929E-2</v>
      </c>
      <c r="M4">
        <v>1.031683179301359</v>
      </c>
      <c r="N4">
        <v>1.0674668973234041</v>
      </c>
      <c r="O4">
        <v>0.4579019205827391</v>
      </c>
    </row>
    <row r="5" spans="1:15" x14ac:dyDescent="0.3">
      <c r="A5" t="s">
        <v>16</v>
      </c>
      <c r="B5">
        <v>1</v>
      </c>
      <c r="C5">
        <v>33.090000000000003</v>
      </c>
      <c r="D5">
        <v>31.18</v>
      </c>
      <c r="E5">
        <v>32.135000000000012</v>
      </c>
      <c r="F5">
        <v>18.87</v>
      </c>
      <c r="G5">
        <v>18.87</v>
      </c>
      <c r="H5">
        <v>18.87</v>
      </c>
      <c r="I5">
        <v>13.265000000000001</v>
      </c>
      <c r="J5">
        <v>13.81</v>
      </c>
      <c r="K5">
        <v>2.6892424583886072</v>
      </c>
      <c r="L5">
        <v>0.86500000000000199</v>
      </c>
      <c r="M5">
        <v>0.54904640689352413</v>
      </c>
      <c r="N5">
        <v>0.85027698622688441</v>
      </c>
      <c r="O5">
        <v>0.98629693044863698</v>
      </c>
    </row>
    <row r="6" spans="1:15" x14ac:dyDescent="0.3">
      <c r="A6" t="s">
        <v>16</v>
      </c>
      <c r="B6">
        <v>2</v>
      </c>
      <c r="C6">
        <v>29.94</v>
      </c>
      <c r="D6">
        <v>30.67</v>
      </c>
      <c r="E6">
        <v>30.305</v>
      </c>
      <c r="F6">
        <v>18.87</v>
      </c>
      <c r="G6">
        <v>18.87</v>
      </c>
      <c r="H6">
        <v>18.87</v>
      </c>
      <c r="I6">
        <v>11.435</v>
      </c>
      <c r="J6">
        <v>13.81</v>
      </c>
      <c r="K6">
        <v>2.6892424583886072</v>
      </c>
      <c r="L6">
        <v>-0.96499999999999808</v>
      </c>
      <c r="M6">
        <v>1.9520635215524469</v>
      </c>
      <c r="N6">
        <v>0.85027698622688441</v>
      </c>
      <c r="O6">
        <v>0.98629693044863698</v>
      </c>
    </row>
    <row r="7" spans="1:15" x14ac:dyDescent="0.3">
      <c r="A7" t="s">
        <v>16</v>
      </c>
      <c r="B7">
        <v>3</v>
      </c>
      <c r="C7">
        <v>35.6</v>
      </c>
      <c r="E7">
        <v>35.6</v>
      </c>
      <c r="F7">
        <v>18.87</v>
      </c>
      <c r="H7">
        <v>18.87</v>
      </c>
      <c r="I7">
        <v>16.73</v>
      </c>
      <c r="J7">
        <v>13.81</v>
      </c>
      <c r="K7">
        <v>2.6892424583886072</v>
      </c>
      <c r="L7">
        <v>4.3300000000000018</v>
      </c>
      <c r="M7">
        <v>4.9721030234682363E-2</v>
      </c>
      <c r="N7">
        <v>0.85027698622688441</v>
      </c>
      <c r="O7">
        <v>0.98629693044863698</v>
      </c>
    </row>
    <row r="8" spans="1:15" x14ac:dyDescent="0.3">
      <c r="A8" t="s">
        <v>17</v>
      </c>
      <c r="B8">
        <v>1</v>
      </c>
      <c r="C8">
        <v>30.66</v>
      </c>
      <c r="D8">
        <v>30.67</v>
      </c>
      <c r="E8">
        <v>30.664999999999999</v>
      </c>
      <c r="F8">
        <v>18.87</v>
      </c>
      <c r="G8">
        <v>18.87</v>
      </c>
      <c r="H8">
        <v>18.87</v>
      </c>
      <c r="I8">
        <v>11.795</v>
      </c>
      <c r="J8">
        <v>12.90833333333333</v>
      </c>
      <c r="K8">
        <v>0.98176287021527398</v>
      </c>
      <c r="L8">
        <v>-0.60499999999999865</v>
      </c>
      <c r="M8">
        <v>1.520978753241008</v>
      </c>
      <c r="N8">
        <v>0.82826479737696468</v>
      </c>
      <c r="O8">
        <v>0.60304788563715106</v>
      </c>
    </row>
    <row r="9" spans="1:15" x14ac:dyDescent="0.3">
      <c r="A9" t="s">
        <v>17</v>
      </c>
      <c r="B9">
        <v>2</v>
      </c>
      <c r="C9">
        <v>32.15</v>
      </c>
      <c r="E9">
        <v>32.15</v>
      </c>
      <c r="F9">
        <v>18.87</v>
      </c>
      <c r="H9">
        <v>18.87</v>
      </c>
      <c r="I9">
        <v>13.28</v>
      </c>
      <c r="J9">
        <v>12.90833333333333</v>
      </c>
      <c r="K9">
        <v>0.98176287021527398</v>
      </c>
      <c r="L9">
        <v>0.87999999999999901</v>
      </c>
      <c r="M9">
        <v>0.54336743126302944</v>
      </c>
      <c r="N9">
        <v>0.82826479737696468</v>
      </c>
      <c r="O9">
        <v>0.60304788563715106</v>
      </c>
    </row>
    <row r="10" spans="1:15" x14ac:dyDescent="0.3">
      <c r="A10" t="s">
        <v>17</v>
      </c>
      <c r="B10">
        <v>3</v>
      </c>
      <c r="C10">
        <v>33.06</v>
      </c>
      <c r="D10">
        <v>31.98</v>
      </c>
      <c r="E10">
        <v>32.520000000000003</v>
      </c>
      <c r="F10">
        <v>18.87</v>
      </c>
      <c r="G10">
        <v>18.87</v>
      </c>
      <c r="H10">
        <v>18.87</v>
      </c>
      <c r="I10">
        <v>13.65</v>
      </c>
      <c r="J10">
        <v>12.90833333333333</v>
      </c>
      <c r="K10">
        <v>0.98176287021527398</v>
      </c>
      <c r="L10">
        <v>1.250000000000002</v>
      </c>
      <c r="M10">
        <v>0.42044820762685681</v>
      </c>
      <c r="N10">
        <v>0.82826479737696468</v>
      </c>
      <c r="O10">
        <v>0.60304788563715106</v>
      </c>
    </row>
    <row r="11" spans="1:15" x14ac:dyDescent="0.3">
      <c r="A11" t="s">
        <v>18</v>
      </c>
      <c r="B11">
        <v>1</v>
      </c>
      <c r="C11">
        <v>32.94</v>
      </c>
      <c r="D11">
        <v>32.159999999999997</v>
      </c>
      <c r="E11">
        <v>32.549999999999997</v>
      </c>
      <c r="F11">
        <v>18.87</v>
      </c>
      <c r="G11">
        <v>18.87</v>
      </c>
      <c r="H11">
        <v>18.87</v>
      </c>
      <c r="I11">
        <v>13.68</v>
      </c>
      <c r="J11">
        <v>14.58333333333333</v>
      </c>
      <c r="K11">
        <v>2.1522159123408922</v>
      </c>
      <c r="L11">
        <v>1.279999999999998</v>
      </c>
      <c r="M11">
        <v>0.41179550863378728</v>
      </c>
      <c r="N11">
        <v>0.36602632775045818</v>
      </c>
      <c r="O11">
        <v>0.30561598373717958</v>
      </c>
    </row>
    <row r="12" spans="1:15" x14ac:dyDescent="0.3">
      <c r="A12" t="s">
        <v>18</v>
      </c>
      <c r="B12">
        <v>2</v>
      </c>
      <c r="C12">
        <v>32.97</v>
      </c>
      <c r="D12">
        <v>38.85</v>
      </c>
      <c r="E12">
        <v>35.909999999999997</v>
      </c>
      <c r="F12">
        <v>18.87</v>
      </c>
      <c r="G12">
        <v>18.87</v>
      </c>
      <c r="H12">
        <v>18.87</v>
      </c>
      <c r="I12">
        <v>17.04</v>
      </c>
      <c r="J12">
        <v>14.58333333333333</v>
      </c>
      <c r="K12">
        <v>2.1522159123408922</v>
      </c>
      <c r="L12">
        <v>4.6400000000000006</v>
      </c>
      <c r="M12">
        <v>4.0107059298840737E-2</v>
      </c>
      <c r="N12">
        <v>0.36602632775045818</v>
      </c>
      <c r="O12">
        <v>0.30561598373717958</v>
      </c>
    </row>
    <row r="13" spans="1:15" x14ac:dyDescent="0.3">
      <c r="A13" t="s">
        <v>18</v>
      </c>
      <c r="B13">
        <v>3</v>
      </c>
      <c r="C13">
        <v>31.9</v>
      </c>
      <c r="E13">
        <v>31.9</v>
      </c>
      <c r="F13">
        <v>18.87</v>
      </c>
      <c r="H13">
        <v>18.87</v>
      </c>
      <c r="I13">
        <v>13.03</v>
      </c>
      <c r="J13">
        <v>14.58333333333333</v>
      </c>
      <c r="K13">
        <v>2.1522159123408922</v>
      </c>
      <c r="L13">
        <v>0.62999999999999901</v>
      </c>
      <c r="M13">
        <v>0.64617641531874659</v>
      </c>
      <c r="N13">
        <v>0.36602632775045818</v>
      </c>
      <c r="O13">
        <v>0.30561598373717958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O13"/>
  <sheetViews>
    <sheetView workbookViewId="0"/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29.47</v>
      </c>
      <c r="D2">
        <v>28.05</v>
      </c>
      <c r="E2">
        <v>28.76</v>
      </c>
      <c r="F2">
        <v>18.87</v>
      </c>
      <c r="G2">
        <v>18.87</v>
      </c>
      <c r="H2">
        <v>18.87</v>
      </c>
      <c r="I2">
        <v>9.8899999999999988</v>
      </c>
      <c r="J2">
        <v>10.365</v>
      </c>
      <c r="K2">
        <v>0.41155194082885838</v>
      </c>
      <c r="L2">
        <v>-0.47499999999999959</v>
      </c>
      <c r="M2">
        <v>1.389918219842337</v>
      </c>
      <c r="N2">
        <v>1.028803220259551</v>
      </c>
      <c r="O2">
        <v>0.31282110619312697</v>
      </c>
    </row>
    <row r="3" spans="1:15" x14ac:dyDescent="0.3">
      <c r="A3" t="s">
        <v>15</v>
      </c>
      <c r="B3">
        <v>2</v>
      </c>
      <c r="C3">
        <v>28.66</v>
      </c>
      <c r="D3">
        <v>30.26</v>
      </c>
      <c r="E3">
        <v>29.46</v>
      </c>
      <c r="F3">
        <v>18.87</v>
      </c>
      <c r="G3">
        <v>18.87</v>
      </c>
      <c r="H3">
        <v>18.87</v>
      </c>
      <c r="I3">
        <v>10.59</v>
      </c>
      <c r="J3">
        <v>10.365</v>
      </c>
      <c r="K3">
        <v>0.41155194082885838</v>
      </c>
      <c r="L3">
        <v>0.22500000000000139</v>
      </c>
      <c r="M3">
        <v>0.85559502568260137</v>
      </c>
      <c r="N3">
        <v>1.028803220259551</v>
      </c>
      <c r="O3">
        <v>0.31282110619312697</v>
      </c>
    </row>
    <row r="4" spans="1:15" x14ac:dyDescent="0.3">
      <c r="A4" t="s">
        <v>15</v>
      </c>
      <c r="B4">
        <v>3</v>
      </c>
      <c r="C4">
        <v>30.22</v>
      </c>
      <c r="D4">
        <v>28.75</v>
      </c>
      <c r="E4">
        <v>29.484999999999999</v>
      </c>
      <c r="F4">
        <v>18.87</v>
      </c>
      <c r="G4">
        <v>18.87</v>
      </c>
      <c r="H4">
        <v>18.87</v>
      </c>
      <c r="I4">
        <v>10.615</v>
      </c>
      <c r="J4">
        <v>10.365</v>
      </c>
      <c r="K4">
        <v>0.41155194082885838</v>
      </c>
      <c r="L4">
        <v>0.25</v>
      </c>
      <c r="M4">
        <v>0.8408964152537145</v>
      </c>
      <c r="N4">
        <v>1.028803220259551</v>
      </c>
      <c r="O4">
        <v>0.31282110619312697</v>
      </c>
    </row>
    <row r="5" spans="1:15" x14ac:dyDescent="0.3">
      <c r="A5" t="s">
        <v>16</v>
      </c>
      <c r="B5">
        <v>1</v>
      </c>
      <c r="C5">
        <v>29.86</v>
      </c>
      <c r="D5">
        <v>30.37</v>
      </c>
      <c r="E5">
        <v>30.114999999999998</v>
      </c>
      <c r="F5">
        <v>18.87</v>
      </c>
      <c r="G5">
        <v>18.87</v>
      </c>
      <c r="H5">
        <v>18.87</v>
      </c>
      <c r="I5">
        <v>11.244999999999999</v>
      </c>
      <c r="J5">
        <v>10.025</v>
      </c>
      <c r="K5">
        <v>1.154350466712774</v>
      </c>
      <c r="L5">
        <v>0.88000000000000078</v>
      </c>
      <c r="M5">
        <v>0.54336743126302878</v>
      </c>
      <c r="N5">
        <v>1.536516883680207</v>
      </c>
      <c r="O5">
        <v>1.0682176295963259</v>
      </c>
    </row>
    <row r="6" spans="1:15" x14ac:dyDescent="0.3">
      <c r="A6" t="s">
        <v>16</v>
      </c>
      <c r="B6">
        <v>2</v>
      </c>
      <c r="C6">
        <v>28.81</v>
      </c>
      <c r="D6">
        <v>28.69</v>
      </c>
      <c r="E6">
        <v>28.75</v>
      </c>
      <c r="F6">
        <v>18.87</v>
      </c>
      <c r="G6">
        <v>18.87</v>
      </c>
      <c r="H6">
        <v>18.87</v>
      </c>
      <c r="I6">
        <v>9.879999999999999</v>
      </c>
      <c r="J6">
        <v>10.025</v>
      </c>
      <c r="K6">
        <v>1.154350466712774</v>
      </c>
      <c r="L6">
        <v>-0.48499999999999938</v>
      </c>
      <c r="M6">
        <v>1.3995858655951949</v>
      </c>
      <c r="N6">
        <v>1.536516883680207</v>
      </c>
      <c r="O6">
        <v>1.0682176295963259</v>
      </c>
    </row>
    <row r="7" spans="1:15" x14ac:dyDescent="0.3">
      <c r="A7" t="s">
        <v>16</v>
      </c>
      <c r="B7">
        <v>3</v>
      </c>
      <c r="C7">
        <v>27.2</v>
      </c>
      <c r="D7">
        <v>28.44</v>
      </c>
      <c r="E7">
        <v>27.82</v>
      </c>
      <c r="F7">
        <v>18.87</v>
      </c>
      <c r="G7">
        <v>18.87</v>
      </c>
      <c r="H7">
        <v>18.87</v>
      </c>
      <c r="I7">
        <v>8.9499999999999993</v>
      </c>
      <c r="J7">
        <v>10.025</v>
      </c>
      <c r="K7">
        <v>1.154350466712774</v>
      </c>
      <c r="L7">
        <v>-1.4149999999999989</v>
      </c>
      <c r="M7">
        <v>2.6665973541823962</v>
      </c>
      <c r="N7">
        <v>1.536516883680207</v>
      </c>
      <c r="O7">
        <v>1.0682176295963259</v>
      </c>
    </row>
    <row r="8" spans="1:15" x14ac:dyDescent="0.3">
      <c r="A8" t="s">
        <v>17</v>
      </c>
      <c r="B8">
        <v>1</v>
      </c>
      <c r="C8">
        <v>27.27</v>
      </c>
      <c r="D8">
        <v>27.29</v>
      </c>
      <c r="E8">
        <v>27.28</v>
      </c>
      <c r="F8">
        <v>18.87</v>
      </c>
      <c r="G8">
        <v>18.87</v>
      </c>
      <c r="H8">
        <v>18.87</v>
      </c>
      <c r="I8">
        <v>8.4099999999999984</v>
      </c>
      <c r="J8">
        <v>7.6849999999999987</v>
      </c>
      <c r="K8">
        <v>1.2905328356922969</v>
      </c>
      <c r="L8">
        <v>-1.9550000000000001</v>
      </c>
      <c r="M8">
        <v>3.87715926774026</v>
      </c>
      <c r="N8">
        <v>8.5497443888113889</v>
      </c>
      <c r="O8">
        <v>8.185143480735249</v>
      </c>
    </row>
    <row r="9" spans="1:15" x14ac:dyDescent="0.3">
      <c r="A9" t="s">
        <v>17</v>
      </c>
      <c r="B9">
        <v>2</v>
      </c>
      <c r="C9">
        <v>24.68</v>
      </c>
      <c r="D9">
        <v>25.45</v>
      </c>
      <c r="E9">
        <v>25.065000000000001</v>
      </c>
      <c r="F9">
        <v>18.87</v>
      </c>
      <c r="G9">
        <v>18.87</v>
      </c>
      <c r="H9">
        <v>18.87</v>
      </c>
      <c r="I9">
        <v>6.1949999999999994</v>
      </c>
      <c r="J9">
        <v>7.6849999999999987</v>
      </c>
      <c r="K9">
        <v>1.2905328356922969</v>
      </c>
      <c r="L9">
        <v>-4.17</v>
      </c>
      <c r="M9">
        <v>18.000935755020951</v>
      </c>
      <c r="N9">
        <v>8.5497443888113889</v>
      </c>
      <c r="O9">
        <v>8.185143480735249</v>
      </c>
    </row>
    <row r="10" spans="1:15" x14ac:dyDescent="0.3">
      <c r="A10" t="s">
        <v>17</v>
      </c>
      <c r="B10">
        <v>3</v>
      </c>
      <c r="C10">
        <v>27.48</v>
      </c>
      <c r="D10">
        <v>27.16</v>
      </c>
      <c r="E10">
        <v>27.32</v>
      </c>
      <c r="F10">
        <v>18.87</v>
      </c>
      <c r="G10">
        <v>18.87</v>
      </c>
      <c r="H10">
        <v>18.87</v>
      </c>
      <c r="I10">
        <v>8.4499999999999993</v>
      </c>
      <c r="J10">
        <v>7.6849999999999987</v>
      </c>
      <c r="K10">
        <v>1.2905328356922969</v>
      </c>
      <c r="L10">
        <v>-1.9149999999999989</v>
      </c>
      <c r="M10">
        <v>3.7711381436729559</v>
      </c>
      <c r="N10">
        <v>8.5497443888113889</v>
      </c>
      <c r="O10">
        <v>8.185143480735249</v>
      </c>
    </row>
    <row r="11" spans="1:15" x14ac:dyDescent="0.3">
      <c r="A11" t="s">
        <v>18</v>
      </c>
      <c r="B11">
        <v>1</v>
      </c>
      <c r="C11">
        <v>30.17</v>
      </c>
      <c r="D11">
        <v>29.35</v>
      </c>
      <c r="E11">
        <v>29.76</v>
      </c>
      <c r="F11">
        <v>18.87</v>
      </c>
      <c r="G11">
        <v>18.87</v>
      </c>
      <c r="H11">
        <v>18.87</v>
      </c>
      <c r="I11">
        <v>10.89</v>
      </c>
      <c r="J11">
        <v>10.95833333333333</v>
      </c>
      <c r="K11">
        <v>0.16825080485196239</v>
      </c>
      <c r="L11">
        <v>0.52500000000000213</v>
      </c>
      <c r="M11">
        <v>0.69495910992116749</v>
      </c>
      <c r="N11">
        <v>0.66575855495809177</v>
      </c>
      <c r="O11">
        <v>7.5186696295770059E-2</v>
      </c>
    </row>
    <row r="12" spans="1:15" x14ac:dyDescent="0.3">
      <c r="A12" t="s">
        <v>18</v>
      </c>
      <c r="B12">
        <v>2</v>
      </c>
      <c r="C12">
        <v>29.61</v>
      </c>
      <c r="D12">
        <v>29.8</v>
      </c>
      <c r="E12">
        <v>29.704999999999998</v>
      </c>
      <c r="F12">
        <v>18.87</v>
      </c>
      <c r="G12">
        <v>18.87</v>
      </c>
      <c r="H12">
        <v>18.87</v>
      </c>
      <c r="I12">
        <v>10.835000000000001</v>
      </c>
      <c r="J12">
        <v>10.95833333333333</v>
      </c>
      <c r="K12">
        <v>0.16825080485196239</v>
      </c>
      <c r="L12">
        <v>0.47000000000000058</v>
      </c>
      <c r="M12">
        <v>0.72196459776124777</v>
      </c>
      <c r="N12">
        <v>0.66575855495809177</v>
      </c>
      <c r="O12">
        <v>7.5186696295770059E-2</v>
      </c>
    </row>
    <row r="13" spans="1:15" x14ac:dyDescent="0.3">
      <c r="A13" t="s">
        <v>18</v>
      </c>
      <c r="B13">
        <v>3</v>
      </c>
      <c r="C13">
        <v>29.09</v>
      </c>
      <c r="D13">
        <v>30.95</v>
      </c>
      <c r="E13">
        <v>30.02</v>
      </c>
      <c r="F13">
        <v>18.87</v>
      </c>
      <c r="G13">
        <v>18.87</v>
      </c>
      <c r="H13">
        <v>18.87</v>
      </c>
      <c r="I13">
        <v>11.15</v>
      </c>
      <c r="J13">
        <v>10.95833333333333</v>
      </c>
      <c r="K13">
        <v>0.16825080485196239</v>
      </c>
      <c r="L13">
        <v>0.78500000000000014</v>
      </c>
      <c r="M13">
        <v>0.58035195719185995</v>
      </c>
      <c r="N13">
        <v>0.66575855495809177</v>
      </c>
      <c r="O13">
        <v>7.5186696295770059E-2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O13"/>
  <sheetViews>
    <sheetView workbookViewId="0"/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30.91</v>
      </c>
      <c r="E2">
        <v>30.91</v>
      </c>
      <c r="F2">
        <v>18.87</v>
      </c>
      <c r="H2">
        <v>18.87</v>
      </c>
      <c r="I2">
        <v>12.04</v>
      </c>
      <c r="J2">
        <v>13.571666666666671</v>
      </c>
      <c r="K2">
        <v>1.348446637184183</v>
      </c>
      <c r="L2">
        <v>-1.5316666666666661</v>
      </c>
      <c r="M2">
        <v>2.8911965036792231</v>
      </c>
      <c r="N2">
        <v>1.361359712559068</v>
      </c>
      <c r="O2">
        <v>1.3285951744285951</v>
      </c>
    </row>
    <row r="3" spans="1:15" x14ac:dyDescent="0.3">
      <c r="A3" t="s">
        <v>15</v>
      </c>
      <c r="B3">
        <v>2</v>
      </c>
      <c r="C3">
        <v>34.909999999999997</v>
      </c>
      <c r="D3">
        <v>31.99</v>
      </c>
      <c r="E3">
        <v>33.450000000000003</v>
      </c>
      <c r="F3">
        <v>18.87</v>
      </c>
      <c r="G3">
        <v>18.87</v>
      </c>
      <c r="H3">
        <v>18.87</v>
      </c>
      <c r="I3">
        <v>14.58</v>
      </c>
      <c r="J3">
        <v>13.571666666666671</v>
      </c>
      <c r="K3">
        <v>1.348446637184183</v>
      </c>
      <c r="L3">
        <v>1.0083333333333311</v>
      </c>
      <c r="M3">
        <v>0.49712021190877442</v>
      </c>
      <c r="N3">
        <v>1.361359712559068</v>
      </c>
      <c r="O3">
        <v>1.3285951744285951</v>
      </c>
    </row>
    <row r="4" spans="1:15" x14ac:dyDescent="0.3">
      <c r="A4" t="s">
        <v>15</v>
      </c>
      <c r="B4">
        <v>3</v>
      </c>
      <c r="C4">
        <v>34.53</v>
      </c>
      <c r="D4">
        <v>31.4</v>
      </c>
      <c r="E4">
        <v>32.965000000000003</v>
      </c>
      <c r="F4">
        <v>18.87</v>
      </c>
      <c r="G4">
        <v>18.87</v>
      </c>
      <c r="H4">
        <v>18.87</v>
      </c>
      <c r="I4">
        <v>14.095000000000001</v>
      </c>
      <c r="J4">
        <v>13.571666666666671</v>
      </c>
      <c r="K4">
        <v>1.348446637184183</v>
      </c>
      <c r="L4">
        <v>0.52333333333333343</v>
      </c>
      <c r="M4">
        <v>0.69576242208920813</v>
      </c>
      <c r="N4">
        <v>1.361359712559068</v>
      </c>
      <c r="O4">
        <v>1.3285951744285951</v>
      </c>
    </row>
    <row r="5" spans="1:15" x14ac:dyDescent="0.3">
      <c r="A5" t="s">
        <v>16</v>
      </c>
      <c r="B5">
        <v>1</v>
      </c>
      <c r="C5">
        <v>32.659999999999997</v>
      </c>
      <c r="D5">
        <v>33.49</v>
      </c>
      <c r="E5">
        <v>33.075000000000003</v>
      </c>
      <c r="F5">
        <v>18.87</v>
      </c>
      <c r="G5">
        <v>18.87</v>
      </c>
      <c r="H5">
        <v>18.87</v>
      </c>
      <c r="I5">
        <v>14.205</v>
      </c>
      <c r="J5">
        <v>13.43333333333333</v>
      </c>
      <c r="K5">
        <v>1.010152628731587</v>
      </c>
      <c r="L5">
        <v>0.63333333333333286</v>
      </c>
      <c r="M5">
        <v>0.64468515421978978</v>
      </c>
      <c r="N5">
        <v>1.308849696969526</v>
      </c>
      <c r="O5">
        <v>0.97742230928561435</v>
      </c>
    </row>
    <row r="6" spans="1:15" x14ac:dyDescent="0.3">
      <c r="A6" t="s">
        <v>16</v>
      </c>
      <c r="B6">
        <v>2</v>
      </c>
      <c r="C6">
        <v>32.83</v>
      </c>
      <c r="D6">
        <v>32.520000000000003</v>
      </c>
      <c r="E6">
        <v>32.674999999999997</v>
      </c>
      <c r="F6">
        <v>18.87</v>
      </c>
      <c r="G6">
        <v>18.87</v>
      </c>
      <c r="H6">
        <v>18.87</v>
      </c>
      <c r="I6">
        <v>13.805</v>
      </c>
      <c r="J6">
        <v>13.43333333333333</v>
      </c>
      <c r="K6">
        <v>1.010152628731587</v>
      </c>
      <c r="L6">
        <v>0.23333333333333431</v>
      </c>
      <c r="M6">
        <v>0.85066716095085515</v>
      </c>
      <c r="N6">
        <v>1.308849696969526</v>
      </c>
      <c r="O6">
        <v>0.97742230928561435</v>
      </c>
    </row>
    <row r="7" spans="1:15" x14ac:dyDescent="0.3">
      <c r="A7" t="s">
        <v>16</v>
      </c>
      <c r="B7">
        <v>3</v>
      </c>
      <c r="C7">
        <v>31.24</v>
      </c>
      <c r="D7">
        <v>31.08</v>
      </c>
      <c r="E7">
        <v>31.16</v>
      </c>
      <c r="F7">
        <v>18.87</v>
      </c>
      <c r="G7">
        <v>18.87</v>
      </c>
      <c r="H7">
        <v>18.87</v>
      </c>
      <c r="I7">
        <v>12.29</v>
      </c>
      <c r="J7">
        <v>13.43333333333333</v>
      </c>
      <c r="K7">
        <v>1.010152628731587</v>
      </c>
      <c r="L7">
        <v>-1.2816666666666681</v>
      </c>
      <c r="M7">
        <v>2.4311967757379338</v>
      </c>
      <c r="N7">
        <v>1.308849696969526</v>
      </c>
      <c r="O7">
        <v>0.97742230928561435</v>
      </c>
    </row>
    <row r="8" spans="1:15" x14ac:dyDescent="0.3">
      <c r="A8" t="s">
        <v>17</v>
      </c>
      <c r="B8">
        <v>1</v>
      </c>
      <c r="C8">
        <v>30.19</v>
      </c>
      <c r="D8">
        <v>29.04</v>
      </c>
      <c r="E8">
        <v>29.614999999999998</v>
      </c>
      <c r="F8">
        <v>18.87</v>
      </c>
      <c r="G8">
        <v>18.87</v>
      </c>
      <c r="H8">
        <v>18.87</v>
      </c>
      <c r="I8">
        <v>10.744999999999999</v>
      </c>
      <c r="J8">
        <v>8.9866666666666664</v>
      </c>
      <c r="K8">
        <v>1.592908764911956</v>
      </c>
      <c r="L8">
        <v>-2.8266666666666662</v>
      </c>
      <c r="M8">
        <v>7.0943311133055218</v>
      </c>
      <c r="N8">
        <v>33.35326243114298</v>
      </c>
      <c r="O8">
        <v>27.00078853257622</v>
      </c>
    </row>
    <row r="9" spans="1:15" x14ac:dyDescent="0.3">
      <c r="A9" t="s">
        <v>17</v>
      </c>
      <c r="B9">
        <v>2</v>
      </c>
      <c r="C9">
        <v>26.84</v>
      </c>
      <c r="D9">
        <v>28.05</v>
      </c>
      <c r="E9">
        <v>27.445</v>
      </c>
      <c r="F9">
        <v>18.87</v>
      </c>
      <c r="G9">
        <v>18.87</v>
      </c>
      <c r="H9">
        <v>18.87</v>
      </c>
      <c r="I9">
        <v>8.5749999999999993</v>
      </c>
      <c r="J9">
        <v>8.9866666666666664</v>
      </c>
      <c r="K9">
        <v>1.592908764911956</v>
      </c>
      <c r="L9">
        <v>-4.9966666666666661</v>
      </c>
      <c r="M9">
        <v>31.92614964886473</v>
      </c>
      <c r="N9">
        <v>33.35326243114298</v>
      </c>
      <c r="O9">
        <v>27.00078853257622</v>
      </c>
    </row>
    <row r="10" spans="1:15" x14ac:dyDescent="0.3">
      <c r="A10" t="s">
        <v>17</v>
      </c>
      <c r="B10">
        <v>3</v>
      </c>
      <c r="C10">
        <v>26.79</v>
      </c>
      <c r="D10">
        <v>26.23</v>
      </c>
      <c r="E10">
        <v>26.51</v>
      </c>
      <c r="F10">
        <v>18.87</v>
      </c>
      <c r="G10">
        <v>18.87</v>
      </c>
      <c r="H10">
        <v>18.87</v>
      </c>
      <c r="I10">
        <v>7.6399999999999988</v>
      </c>
      <c r="J10">
        <v>8.9866666666666664</v>
      </c>
      <c r="K10">
        <v>1.592908764911956</v>
      </c>
      <c r="L10">
        <v>-5.9316666666666666</v>
      </c>
      <c r="M10">
        <v>61.039306531258703</v>
      </c>
      <c r="N10">
        <v>33.35326243114298</v>
      </c>
      <c r="O10">
        <v>27.00078853257622</v>
      </c>
    </row>
    <row r="11" spans="1:15" x14ac:dyDescent="0.3">
      <c r="A11" t="s">
        <v>18</v>
      </c>
      <c r="B11">
        <v>1</v>
      </c>
      <c r="C11">
        <v>31.67</v>
      </c>
      <c r="D11">
        <v>32.340000000000003</v>
      </c>
      <c r="E11">
        <v>32.005000000000003</v>
      </c>
      <c r="F11">
        <v>18.87</v>
      </c>
      <c r="G11">
        <v>18.87</v>
      </c>
      <c r="H11">
        <v>18.87</v>
      </c>
      <c r="I11">
        <v>13.135</v>
      </c>
      <c r="J11">
        <v>13.70166666666667</v>
      </c>
      <c r="K11">
        <v>0.72598783277223888</v>
      </c>
      <c r="L11">
        <v>-0.43666666666666393</v>
      </c>
      <c r="M11">
        <v>1.353473524137244</v>
      </c>
      <c r="N11">
        <v>0.9865651191321908</v>
      </c>
      <c r="O11">
        <v>0.42675873058948888</v>
      </c>
    </row>
    <row r="12" spans="1:15" x14ac:dyDescent="0.3">
      <c r="A12" t="s">
        <v>18</v>
      </c>
      <c r="B12">
        <v>2</v>
      </c>
      <c r="C12">
        <v>33.53</v>
      </c>
      <c r="D12">
        <v>33.25</v>
      </c>
      <c r="E12">
        <v>33.39</v>
      </c>
      <c r="F12">
        <v>18.87</v>
      </c>
      <c r="G12">
        <v>18.87</v>
      </c>
      <c r="H12">
        <v>18.87</v>
      </c>
      <c r="I12">
        <v>14.52</v>
      </c>
      <c r="J12">
        <v>13.70166666666667</v>
      </c>
      <c r="K12">
        <v>0.72598783277223888</v>
      </c>
      <c r="L12">
        <v>0.94833333333333414</v>
      </c>
      <c r="M12">
        <v>0.51823079993697896</v>
      </c>
      <c r="N12">
        <v>0.9865651191321908</v>
      </c>
      <c r="O12">
        <v>0.42675873058948888</v>
      </c>
    </row>
    <row r="13" spans="1:15" x14ac:dyDescent="0.3">
      <c r="A13" t="s">
        <v>18</v>
      </c>
      <c r="B13">
        <v>3</v>
      </c>
      <c r="C13">
        <v>30.75</v>
      </c>
      <c r="D13">
        <v>33.89</v>
      </c>
      <c r="E13">
        <v>32.32</v>
      </c>
      <c r="F13">
        <v>18.87</v>
      </c>
      <c r="G13">
        <v>18.87</v>
      </c>
      <c r="H13">
        <v>18.87</v>
      </c>
      <c r="I13">
        <v>13.45</v>
      </c>
      <c r="J13">
        <v>13.70166666666667</v>
      </c>
      <c r="K13">
        <v>0.72598783277223888</v>
      </c>
      <c r="L13">
        <v>-0.1216666666666661</v>
      </c>
      <c r="M13">
        <v>1.0879910333223499</v>
      </c>
      <c r="N13">
        <v>0.9865651191321908</v>
      </c>
      <c r="O13">
        <v>0.42675873058948888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O13"/>
  <sheetViews>
    <sheetView workbookViewId="0">
      <selection activeCell="J26" sqref="J26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</v>
      </c>
      <c r="C2">
        <v>27.06</v>
      </c>
      <c r="D2">
        <v>27.09</v>
      </c>
      <c r="E2">
        <v>27.074999999999999</v>
      </c>
      <c r="F2">
        <v>18.87</v>
      </c>
      <c r="G2">
        <v>18.87</v>
      </c>
      <c r="H2">
        <v>18.87</v>
      </c>
      <c r="I2">
        <v>8.2049999999999983</v>
      </c>
      <c r="J2">
        <v>8.9916666666666654</v>
      </c>
      <c r="K2">
        <v>1.189436140922804</v>
      </c>
      <c r="L2">
        <v>-0.78666666666666707</v>
      </c>
      <c r="M2">
        <v>1.7250840639843821</v>
      </c>
      <c r="N2">
        <v>1.202999896344328</v>
      </c>
      <c r="O2">
        <v>0.71556378731254799</v>
      </c>
    </row>
    <row r="3" spans="1:15" x14ac:dyDescent="0.3">
      <c r="A3" t="s">
        <v>15</v>
      </c>
      <c r="B3">
        <v>2</v>
      </c>
      <c r="C3">
        <v>28.93</v>
      </c>
      <c r="D3">
        <v>29.53</v>
      </c>
      <c r="E3">
        <v>29.23</v>
      </c>
      <c r="F3">
        <v>18.87</v>
      </c>
      <c r="G3">
        <v>18.87</v>
      </c>
      <c r="H3">
        <v>18.87</v>
      </c>
      <c r="I3">
        <v>10.36</v>
      </c>
      <c r="J3">
        <v>8.9916666666666654</v>
      </c>
      <c r="K3">
        <v>1.189436140922804</v>
      </c>
      <c r="L3">
        <v>1.3683333333333341</v>
      </c>
      <c r="M3">
        <v>0.38733846095263808</v>
      </c>
      <c r="N3">
        <v>1.202999896344328</v>
      </c>
      <c r="O3">
        <v>0.71556378731254799</v>
      </c>
    </row>
    <row r="4" spans="1:15" x14ac:dyDescent="0.3">
      <c r="A4" t="s">
        <v>15</v>
      </c>
      <c r="B4">
        <v>3</v>
      </c>
      <c r="C4">
        <v>26.89</v>
      </c>
      <c r="D4">
        <v>27.67</v>
      </c>
      <c r="E4">
        <v>27.28</v>
      </c>
      <c r="F4">
        <v>18.87</v>
      </c>
      <c r="G4">
        <v>18.87</v>
      </c>
      <c r="H4">
        <v>18.87</v>
      </c>
      <c r="I4">
        <v>8.41</v>
      </c>
      <c r="J4">
        <v>8.9916666666666654</v>
      </c>
      <c r="K4">
        <v>1.189436140922804</v>
      </c>
      <c r="L4">
        <v>-0.58166666666666522</v>
      </c>
      <c r="M4">
        <v>1.4965771640959631</v>
      </c>
      <c r="N4">
        <v>1.202999896344328</v>
      </c>
      <c r="O4">
        <v>0.71556378731254799</v>
      </c>
    </row>
    <row r="5" spans="1:15" x14ac:dyDescent="0.3">
      <c r="A5" t="s">
        <v>16</v>
      </c>
      <c r="B5">
        <v>1</v>
      </c>
      <c r="C5">
        <v>29.18</v>
      </c>
      <c r="D5">
        <v>29.04</v>
      </c>
      <c r="E5">
        <v>29.11</v>
      </c>
      <c r="F5">
        <v>18.87</v>
      </c>
      <c r="G5">
        <v>18.87</v>
      </c>
      <c r="H5">
        <v>18.87</v>
      </c>
      <c r="I5">
        <v>10.24</v>
      </c>
      <c r="J5">
        <v>9.9933333333333323</v>
      </c>
      <c r="K5">
        <v>0.25818275181222511</v>
      </c>
      <c r="L5">
        <v>1.2483333333333331</v>
      </c>
      <c r="M5">
        <v>0.42093420911442031</v>
      </c>
      <c r="N5">
        <v>0.50480835130317803</v>
      </c>
      <c r="O5">
        <v>9.0970261960430482E-2</v>
      </c>
    </row>
    <row r="6" spans="1:15" x14ac:dyDescent="0.3">
      <c r="A6" t="s">
        <v>16</v>
      </c>
      <c r="B6">
        <v>2</v>
      </c>
      <c r="C6">
        <v>29</v>
      </c>
      <c r="D6">
        <v>28.77</v>
      </c>
      <c r="E6">
        <v>28.885000000000002</v>
      </c>
      <c r="F6">
        <v>18.87</v>
      </c>
      <c r="G6">
        <v>18.87</v>
      </c>
      <c r="H6">
        <v>18.87</v>
      </c>
      <c r="I6">
        <v>10.015000000000001</v>
      </c>
      <c r="J6">
        <v>9.9933333333333323</v>
      </c>
      <c r="K6">
        <v>0.25818275181222511</v>
      </c>
      <c r="L6">
        <v>1.023333333333333</v>
      </c>
      <c r="M6">
        <v>0.49197832675405601</v>
      </c>
      <c r="N6">
        <v>0.50480835130317803</v>
      </c>
      <c r="O6">
        <v>9.0970261960430482E-2</v>
      </c>
    </row>
    <row r="7" spans="1:15" x14ac:dyDescent="0.3">
      <c r="A7" t="s">
        <v>16</v>
      </c>
      <c r="B7">
        <v>3</v>
      </c>
      <c r="C7">
        <v>28.96</v>
      </c>
      <c r="D7">
        <v>28.23</v>
      </c>
      <c r="E7">
        <v>28.594999999999999</v>
      </c>
      <c r="F7">
        <v>18.87</v>
      </c>
      <c r="G7">
        <v>18.87</v>
      </c>
      <c r="H7">
        <v>18.87</v>
      </c>
      <c r="I7">
        <v>9.7249999999999996</v>
      </c>
      <c r="J7">
        <v>9.9933333333333323</v>
      </c>
      <c r="K7">
        <v>0.25818275181222511</v>
      </c>
      <c r="L7">
        <v>0.73333333333333428</v>
      </c>
      <c r="M7">
        <v>0.60151251804105788</v>
      </c>
      <c r="N7">
        <v>0.50480835130317803</v>
      </c>
      <c r="O7">
        <v>9.0970261960430482E-2</v>
      </c>
    </row>
    <row r="8" spans="1:15" x14ac:dyDescent="0.3">
      <c r="A8" t="s">
        <v>17</v>
      </c>
      <c r="B8">
        <v>1</v>
      </c>
      <c r="C8">
        <v>28.42</v>
      </c>
      <c r="D8">
        <v>28.28</v>
      </c>
      <c r="E8">
        <v>28.35</v>
      </c>
      <c r="F8">
        <v>18.87</v>
      </c>
      <c r="G8">
        <v>18.87</v>
      </c>
      <c r="H8">
        <v>18.87</v>
      </c>
      <c r="I8">
        <v>9.48</v>
      </c>
      <c r="J8">
        <v>9.5833333333333321</v>
      </c>
      <c r="K8">
        <v>0.68090625884429423</v>
      </c>
      <c r="L8">
        <v>0.48833333333333512</v>
      </c>
      <c r="M8">
        <v>0.7128481367613253</v>
      </c>
      <c r="N8">
        <v>0.71201279526250083</v>
      </c>
      <c r="O8">
        <v>0.31059804471732771</v>
      </c>
    </row>
    <row r="9" spans="1:15" x14ac:dyDescent="0.3">
      <c r="A9" t="s">
        <v>17</v>
      </c>
      <c r="B9">
        <v>2</v>
      </c>
      <c r="C9">
        <v>27.62</v>
      </c>
      <c r="D9">
        <v>28.04</v>
      </c>
      <c r="E9">
        <v>27.83</v>
      </c>
      <c r="F9">
        <v>18.87</v>
      </c>
      <c r="G9">
        <v>18.87</v>
      </c>
      <c r="H9">
        <v>18.87</v>
      </c>
      <c r="I9">
        <v>8.9599999999999991</v>
      </c>
      <c r="J9">
        <v>9.5833333333333321</v>
      </c>
      <c r="K9">
        <v>0.68090625884429423</v>
      </c>
      <c r="L9">
        <v>-3.1666666666666288E-2</v>
      </c>
      <c r="M9">
        <v>1.0221923267472079</v>
      </c>
      <c r="N9">
        <v>0.71201279526250083</v>
      </c>
      <c r="O9">
        <v>0.31059804471732771</v>
      </c>
    </row>
    <row r="10" spans="1:15" x14ac:dyDescent="0.3">
      <c r="A10" t="s">
        <v>17</v>
      </c>
      <c r="B10">
        <v>3</v>
      </c>
      <c r="C10">
        <v>29.08</v>
      </c>
      <c r="D10">
        <v>29.28</v>
      </c>
      <c r="E10">
        <v>29.18</v>
      </c>
      <c r="F10">
        <v>18.87</v>
      </c>
      <c r="G10">
        <v>18.87</v>
      </c>
      <c r="H10">
        <v>18.87</v>
      </c>
      <c r="I10">
        <v>10.31</v>
      </c>
      <c r="J10">
        <v>9.5833333333333321</v>
      </c>
      <c r="K10">
        <v>0.68090625884429423</v>
      </c>
      <c r="L10">
        <v>1.3183333333333329</v>
      </c>
      <c r="M10">
        <v>0.40099792227896941</v>
      </c>
      <c r="N10">
        <v>0.71201279526250083</v>
      </c>
      <c r="O10">
        <v>0.31059804471732771</v>
      </c>
    </row>
    <row r="11" spans="1:15" x14ac:dyDescent="0.3">
      <c r="A11" t="s">
        <v>18</v>
      </c>
      <c r="B11">
        <v>1</v>
      </c>
      <c r="C11">
        <v>30.59</v>
      </c>
      <c r="D11">
        <v>29.92</v>
      </c>
      <c r="E11">
        <v>30.254999999999999</v>
      </c>
      <c r="F11">
        <v>18.87</v>
      </c>
      <c r="G11">
        <v>18.87</v>
      </c>
      <c r="H11">
        <v>18.87</v>
      </c>
      <c r="I11">
        <v>11.385</v>
      </c>
      <c r="J11">
        <v>11.20166666666667</v>
      </c>
      <c r="K11">
        <v>0.22898325994127541</v>
      </c>
      <c r="L11">
        <v>2.393333333333334</v>
      </c>
      <c r="M11">
        <v>0.19034210901653401</v>
      </c>
      <c r="N11">
        <v>0.217994538816776</v>
      </c>
      <c r="O11">
        <v>3.5642058055660827E-2</v>
      </c>
    </row>
    <row r="12" spans="1:15" x14ac:dyDescent="0.3">
      <c r="A12" t="s">
        <v>18</v>
      </c>
      <c r="B12">
        <v>2</v>
      </c>
      <c r="C12">
        <v>30.44</v>
      </c>
      <c r="D12">
        <v>29.85</v>
      </c>
      <c r="E12">
        <v>30.145</v>
      </c>
      <c r="F12">
        <v>18.87</v>
      </c>
      <c r="G12">
        <v>18.87</v>
      </c>
      <c r="H12">
        <v>18.87</v>
      </c>
      <c r="I12">
        <v>11.275</v>
      </c>
      <c r="J12">
        <v>11.20166666666667</v>
      </c>
      <c r="K12">
        <v>0.22898325994127541</v>
      </c>
      <c r="L12">
        <v>2.283333333333335</v>
      </c>
      <c r="M12">
        <v>0.20542257864644731</v>
      </c>
      <c r="N12">
        <v>0.217994538816776</v>
      </c>
      <c r="O12">
        <v>3.5642058055660827E-2</v>
      </c>
    </row>
    <row r="13" spans="1:15" x14ac:dyDescent="0.3">
      <c r="A13" t="s">
        <v>18</v>
      </c>
      <c r="B13">
        <v>3</v>
      </c>
      <c r="C13">
        <v>29.9</v>
      </c>
      <c r="D13">
        <v>29.73</v>
      </c>
      <c r="E13">
        <v>29.815000000000001</v>
      </c>
      <c r="F13">
        <v>18.87</v>
      </c>
      <c r="G13">
        <v>18.87</v>
      </c>
      <c r="H13">
        <v>18.87</v>
      </c>
      <c r="I13">
        <v>10.945</v>
      </c>
      <c r="J13">
        <v>11.20166666666667</v>
      </c>
      <c r="K13">
        <v>0.22898325994127541</v>
      </c>
      <c r="L13">
        <v>1.9533333333333329</v>
      </c>
      <c r="M13">
        <v>0.25821892878734681</v>
      </c>
      <c r="N13">
        <v>0.217994538816776</v>
      </c>
      <c r="O13">
        <v>3.5642058055660827E-2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O7"/>
  <sheetViews>
    <sheetView tabSelected="1" workbookViewId="0">
      <selection activeCell="G16" sqref="G16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17</v>
      </c>
      <c r="B2">
        <v>1</v>
      </c>
      <c r="C2">
        <v>29.48</v>
      </c>
      <c r="D2">
        <v>29.49</v>
      </c>
      <c r="E2">
        <v>29.484999999999999</v>
      </c>
      <c r="F2">
        <v>18.87</v>
      </c>
      <c r="G2">
        <v>18.87</v>
      </c>
      <c r="H2">
        <v>18.87</v>
      </c>
      <c r="I2">
        <v>10.615</v>
      </c>
      <c r="J2">
        <v>10.021666666666659</v>
      </c>
      <c r="K2">
        <v>0.51444954401120147</v>
      </c>
      <c r="L2">
        <f>(I5-I2)</f>
        <v>-0.25500000000000078</v>
      </c>
      <c r="M2">
        <f>2^(-L2)</f>
        <v>1.1933357430317226</v>
      </c>
      <c r="N2">
        <f>AVERAGE(M2,M3,M4)</f>
        <v>1.2963725913995461</v>
      </c>
      <c r="O2">
        <f>_xlfn.STDEV.S(M2:M4)/SQRT(COUNT(M2:M4))</f>
        <v>0.14067295570515756</v>
      </c>
    </row>
    <row r="3" spans="1:15" x14ac:dyDescent="0.3">
      <c r="A3" t="s">
        <v>17</v>
      </c>
      <c r="B3">
        <v>2</v>
      </c>
      <c r="C3">
        <v>28.7</v>
      </c>
      <c r="D3">
        <v>28.44</v>
      </c>
      <c r="E3">
        <v>28.57</v>
      </c>
      <c r="F3">
        <v>18.87</v>
      </c>
      <c r="G3">
        <v>18.87</v>
      </c>
      <c r="H3">
        <v>18.87</v>
      </c>
      <c r="I3">
        <v>9.6999999999999993</v>
      </c>
      <c r="J3">
        <v>10.021666666666659</v>
      </c>
      <c r="K3">
        <v>0.51444954401120147</v>
      </c>
      <c r="L3">
        <f>(I6-I3)</f>
        <v>-0.16500000000000092</v>
      </c>
      <c r="M3">
        <f t="shared" ref="M3:M4" si="0">2^(-L3)</f>
        <v>1.1211660780285095</v>
      </c>
    </row>
    <row r="4" spans="1:15" x14ac:dyDescent="0.3">
      <c r="A4" t="s">
        <v>17</v>
      </c>
      <c r="B4">
        <v>3</v>
      </c>
      <c r="C4">
        <v>27.93</v>
      </c>
      <c r="D4">
        <v>29.31</v>
      </c>
      <c r="E4">
        <v>28.62</v>
      </c>
      <c r="F4">
        <v>18.87</v>
      </c>
      <c r="G4">
        <v>18.87</v>
      </c>
      <c r="H4">
        <v>18.87</v>
      </c>
      <c r="I4">
        <v>9.7499999999999982</v>
      </c>
      <c r="J4">
        <v>10.021666666666659</v>
      </c>
      <c r="K4">
        <v>0.51444954401120147</v>
      </c>
      <c r="L4">
        <f>(I7-I4)</f>
        <v>-0.65499999999999936</v>
      </c>
      <c r="M4">
        <f t="shared" si="0"/>
        <v>1.5746159531384061</v>
      </c>
    </row>
    <row r="5" spans="1:15" x14ac:dyDescent="0.3">
      <c r="A5" t="s">
        <v>18</v>
      </c>
      <c r="B5">
        <v>1</v>
      </c>
      <c r="C5">
        <v>28.86</v>
      </c>
      <c r="D5">
        <v>29.6</v>
      </c>
      <c r="E5">
        <v>29.23</v>
      </c>
      <c r="F5">
        <v>18.87</v>
      </c>
      <c r="G5">
        <v>18.87</v>
      </c>
      <c r="H5">
        <v>18.87</v>
      </c>
      <c r="I5">
        <v>10.36</v>
      </c>
      <c r="J5">
        <v>9.6633333333333322</v>
      </c>
      <c r="K5">
        <v>0.64219026256502354</v>
      </c>
      <c r="L5">
        <f>(I5-I5)</f>
        <v>0</v>
      </c>
      <c r="M5">
        <f t="shared" ref="M5:M7" si="1">2^(-L5)</f>
        <v>1</v>
      </c>
      <c r="N5">
        <f>AVERAGE(M5,M6,M7)</f>
        <v>1</v>
      </c>
      <c r="O5">
        <f>_xlfn.STDEV.S(M5:M7)/SQRT(COUNT(M5:M7))</f>
        <v>0</v>
      </c>
    </row>
    <row r="6" spans="1:15" x14ac:dyDescent="0.3">
      <c r="A6" t="s">
        <v>18</v>
      </c>
      <c r="B6">
        <v>2</v>
      </c>
      <c r="C6">
        <v>28.49</v>
      </c>
      <c r="D6">
        <v>28.32</v>
      </c>
      <c r="E6">
        <v>28.405000000000001</v>
      </c>
      <c r="F6">
        <v>18.87</v>
      </c>
      <c r="G6">
        <v>18.87</v>
      </c>
      <c r="H6">
        <v>18.87</v>
      </c>
      <c r="I6">
        <v>9.5349999999999984</v>
      </c>
      <c r="J6">
        <v>9.6633333333333322</v>
      </c>
      <c r="K6">
        <v>0.64219026256502354</v>
      </c>
      <c r="L6">
        <f t="shared" ref="L6:L7" si="2">(I6-I6)</f>
        <v>0</v>
      </c>
      <c r="M6">
        <f t="shared" si="1"/>
        <v>1</v>
      </c>
    </row>
    <row r="7" spans="1:15" x14ac:dyDescent="0.3">
      <c r="A7" t="s">
        <v>18</v>
      </c>
      <c r="B7">
        <v>3</v>
      </c>
      <c r="C7">
        <v>28.32</v>
      </c>
      <c r="D7">
        <v>27.61</v>
      </c>
      <c r="E7">
        <v>27.965</v>
      </c>
      <c r="F7">
        <v>18.87</v>
      </c>
      <c r="G7">
        <v>18.87</v>
      </c>
      <c r="H7">
        <v>18.87</v>
      </c>
      <c r="I7">
        <v>9.0949999999999989</v>
      </c>
      <c r="J7">
        <v>9.6633333333333322</v>
      </c>
      <c r="K7">
        <v>0.64219026256502354</v>
      </c>
      <c r="L7">
        <f t="shared" si="2"/>
        <v>0</v>
      </c>
      <c r="M7">
        <f t="shared" si="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O2"/>
  <sheetViews>
    <sheetView workbookViewId="0">
      <selection activeCell="F20" sqref="F20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3</v>
      </c>
      <c r="C2">
        <v>37.42</v>
      </c>
      <c r="E2">
        <v>37.42</v>
      </c>
      <c r="F2">
        <v>18.87</v>
      </c>
      <c r="H2">
        <v>18.87</v>
      </c>
      <c r="I2">
        <v>18.55</v>
      </c>
      <c r="J2">
        <v>18.55</v>
      </c>
      <c r="L2">
        <v>0</v>
      </c>
      <c r="M2">
        <v>1</v>
      </c>
      <c r="N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O3"/>
  <sheetViews>
    <sheetView workbookViewId="0"/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17</v>
      </c>
      <c r="B2">
        <v>1</v>
      </c>
      <c r="C2">
        <v>38.57</v>
      </c>
      <c r="E2">
        <v>38.57</v>
      </c>
      <c r="F2">
        <v>18.87</v>
      </c>
      <c r="H2">
        <v>18.87</v>
      </c>
      <c r="I2">
        <v>19.7</v>
      </c>
      <c r="J2">
        <v>19.7</v>
      </c>
    </row>
    <row r="3" spans="1:15" x14ac:dyDescent="0.3">
      <c r="A3" t="s">
        <v>18</v>
      </c>
      <c r="B3">
        <v>3</v>
      </c>
      <c r="C3">
        <v>34.369999999999997</v>
      </c>
      <c r="E3">
        <v>34.369999999999997</v>
      </c>
      <c r="F3">
        <v>18.87</v>
      </c>
      <c r="H3">
        <v>18.87</v>
      </c>
      <c r="I3">
        <v>15.5</v>
      </c>
      <c r="J3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COL15A1</vt:lpstr>
      <vt:lpstr>DNAJA4</vt:lpstr>
      <vt:lpstr>HSPH1</vt:lpstr>
      <vt:lpstr>LOC107049986</vt:lpstr>
      <vt:lpstr>GADD45G</vt:lpstr>
      <vt:lpstr>SPHKAP</vt:lpstr>
      <vt:lpstr>VGLL3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Shadi Shahatit</cp:lastModifiedBy>
  <dcterms:created xsi:type="dcterms:W3CDTF">2026-01-22T15:19:24Z</dcterms:created>
  <dcterms:modified xsi:type="dcterms:W3CDTF">2026-01-27T22:39:25Z</dcterms:modified>
</cp:coreProperties>
</file>