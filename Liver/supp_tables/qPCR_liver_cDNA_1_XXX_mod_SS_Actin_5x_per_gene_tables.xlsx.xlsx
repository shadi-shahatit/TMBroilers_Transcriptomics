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qPCR_Liver/"/>
    </mc:Choice>
  </mc:AlternateContent>
  <xr:revisionPtr revIDLastSave="33" documentId="11_95478A48AFC888B7CFA5C7CD7AD9DAC5D067907C" xr6:coauthVersionLast="47" xr6:coauthVersionMax="47" xr10:uidLastSave="{CDB5DE97-A5AC-4EB2-9329-D30070A86598}"/>
  <bookViews>
    <workbookView xWindow="-108" yWindow="-108" windowWidth="23256" windowHeight="12456" xr2:uid="{00000000-000D-0000-FFFF-FFFF00000000}"/>
  </bookViews>
  <sheets>
    <sheet name="COL15A1" sheetId="1" r:id="rId1"/>
    <sheet name="DNAJA4" sheetId="2" r:id="rId2"/>
    <sheet name="HSPH1" sheetId="4" r:id="rId3"/>
    <sheet name="LOC107049986" sheetId="5" r:id="rId4"/>
    <sheet name="GADD45G" sheetId="3" r:id="rId5"/>
    <sheet name="SPHKAP" sheetId="6" r:id="rId6"/>
    <sheet name="VGLL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L4" i="3"/>
  <c r="L3" i="3"/>
  <c r="L2" i="3"/>
  <c r="O2" i="3"/>
  <c r="N2" i="3"/>
  <c r="M4" i="3"/>
  <c r="M3" i="3"/>
</calcChain>
</file>

<file path=xl/sharedStrings.xml><?xml version="1.0" encoding="utf-8"?>
<sst xmlns="http://schemas.openxmlformats.org/spreadsheetml/2006/main" count="166" uniqueCount="19">
  <si>
    <t>Name</t>
  </si>
  <si>
    <t>Replicate</t>
  </si>
  <si>
    <t>Ct1</t>
  </si>
  <si>
    <t>Ct2</t>
  </si>
  <si>
    <t>Target_gene_Ct_avg</t>
  </si>
  <si>
    <t>CT1</t>
  </si>
  <si>
    <t>CT2</t>
  </si>
  <si>
    <t>Housekeeping_Ct_avg</t>
  </si>
  <si>
    <t>ΔCt</t>
  </si>
  <si>
    <t>Mean_dCt</t>
  </si>
  <si>
    <t>SD_dct</t>
  </si>
  <si>
    <t>ΔΔCt</t>
  </si>
  <si>
    <t>2^-ΔΔCt</t>
  </si>
  <si>
    <t>Mean_2^-ddCt</t>
  </si>
  <si>
    <t>SD_2^-ddCt</t>
  </si>
  <si>
    <t>Con_N</t>
  </si>
  <si>
    <t>TM_N</t>
  </si>
  <si>
    <t>Con_AHS</t>
  </si>
  <si>
    <t>TM_AHS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</si>
</sst>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3"/>
  <sheetViews>
    <sheetView tabSelected="1" workbookViewId="0">
      <selection activeCell="I23" sqref="I23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30.49</v>
      </c>
      <c r="D2">
        <v>32.75</v>
      </c>
      <c r="E2">
        <v>31.62</v>
      </c>
      <c r="F2">
        <v>19.2</v>
      </c>
      <c r="G2">
        <v>19.2</v>
      </c>
      <c r="H2">
        <v>19.2</v>
      </c>
      <c r="I2">
        <v>12.42</v>
      </c>
      <c r="J2">
        <v>11.81666666666667</v>
      </c>
      <c r="K2">
        <v>0.67352307557598468</v>
      </c>
      <c r="L2">
        <v>0.6033333333333335</v>
      </c>
      <c r="M2">
        <v>0.65823135972181701</v>
      </c>
      <c r="N2">
        <v>1.0770355416956869</v>
      </c>
      <c r="O2">
        <v>0.51695921084315088</v>
      </c>
    </row>
    <row r="3" spans="1:15" x14ac:dyDescent="0.3">
      <c r="A3" t="s">
        <v>15</v>
      </c>
      <c r="B3">
        <v>2</v>
      </c>
      <c r="C3">
        <v>30.29</v>
      </c>
      <c r="E3">
        <v>30.29</v>
      </c>
      <c r="F3">
        <v>19.2</v>
      </c>
      <c r="H3">
        <v>19.2</v>
      </c>
      <c r="I3">
        <v>11.09</v>
      </c>
      <c r="J3">
        <v>11.81666666666667</v>
      </c>
      <c r="K3">
        <v>0.67352307557598468</v>
      </c>
      <c r="L3">
        <v>-0.72666666666666657</v>
      </c>
      <c r="M3">
        <v>1.654811245400025</v>
      </c>
      <c r="N3">
        <v>1.0770355416956869</v>
      </c>
      <c r="O3">
        <v>0.51695921084315088</v>
      </c>
    </row>
    <row r="4" spans="1:15" x14ac:dyDescent="0.3">
      <c r="A4" t="s">
        <v>15</v>
      </c>
      <c r="B4">
        <v>3</v>
      </c>
      <c r="C4">
        <v>30.62</v>
      </c>
      <c r="D4">
        <v>31.66</v>
      </c>
      <c r="E4">
        <v>31.14</v>
      </c>
      <c r="F4">
        <v>19.2</v>
      </c>
      <c r="G4">
        <v>19.2</v>
      </c>
      <c r="H4">
        <v>19.2</v>
      </c>
      <c r="I4">
        <v>11.94</v>
      </c>
      <c r="J4">
        <v>11.81666666666667</v>
      </c>
      <c r="K4">
        <v>0.67352307557598468</v>
      </c>
      <c r="L4">
        <v>0.12333333333333479</v>
      </c>
      <c r="M4">
        <v>0.9180640199652188</v>
      </c>
      <c r="N4">
        <v>1.0770355416956869</v>
      </c>
      <c r="O4">
        <v>0.51695921084315088</v>
      </c>
    </row>
    <row r="5" spans="1:15" x14ac:dyDescent="0.3">
      <c r="A5" t="s">
        <v>16</v>
      </c>
      <c r="B5">
        <v>1</v>
      </c>
      <c r="C5">
        <v>31.14</v>
      </c>
      <c r="D5">
        <v>32.869999999999997</v>
      </c>
      <c r="E5">
        <v>32.005000000000003</v>
      </c>
      <c r="F5">
        <v>19.2</v>
      </c>
      <c r="G5">
        <v>19.2</v>
      </c>
      <c r="H5">
        <v>19.2</v>
      </c>
      <c r="I5">
        <v>12.805</v>
      </c>
      <c r="J5">
        <v>11.78333333333333</v>
      </c>
      <c r="K5">
        <v>2.0800620984319989</v>
      </c>
      <c r="L5">
        <v>0.98833333333333329</v>
      </c>
      <c r="M5">
        <v>0.50405975146012916</v>
      </c>
      <c r="N5">
        <v>2.0920115384064002</v>
      </c>
      <c r="O5">
        <v>2.8449664405156012</v>
      </c>
    </row>
    <row r="6" spans="1:15" x14ac:dyDescent="0.3">
      <c r="A6" t="s">
        <v>16</v>
      </c>
      <c r="B6">
        <v>2</v>
      </c>
      <c r="C6">
        <v>28.13</v>
      </c>
      <c r="D6">
        <v>29.05</v>
      </c>
      <c r="E6">
        <v>28.59</v>
      </c>
      <c r="F6">
        <v>19.2</v>
      </c>
      <c r="G6">
        <v>19.2</v>
      </c>
      <c r="H6">
        <v>19.2</v>
      </c>
      <c r="I6">
        <v>9.39</v>
      </c>
      <c r="J6">
        <v>11.78333333333333</v>
      </c>
      <c r="K6">
        <v>2.0800620984319989</v>
      </c>
      <c r="L6">
        <v>-2.4266666666666659</v>
      </c>
      <c r="M6">
        <v>5.3764975983736658</v>
      </c>
      <c r="N6">
        <v>2.0920115384064002</v>
      </c>
      <c r="O6">
        <v>2.8449664405156012</v>
      </c>
    </row>
    <row r="7" spans="1:15" x14ac:dyDescent="0.3">
      <c r="A7" t="s">
        <v>16</v>
      </c>
      <c r="B7">
        <v>3</v>
      </c>
      <c r="C7">
        <v>32.799999999999997</v>
      </c>
      <c r="D7">
        <v>31.91</v>
      </c>
      <c r="E7">
        <v>32.354999999999997</v>
      </c>
      <c r="F7">
        <v>19.2</v>
      </c>
      <c r="G7">
        <v>19.2</v>
      </c>
      <c r="H7">
        <v>19.2</v>
      </c>
      <c r="I7">
        <v>13.154999999999999</v>
      </c>
      <c r="J7">
        <v>11.78333333333333</v>
      </c>
      <c r="K7">
        <v>2.0800620984319989</v>
      </c>
      <c r="L7">
        <v>1.3383333333333329</v>
      </c>
      <c r="M7">
        <v>0.39547726538540601</v>
      </c>
      <c r="N7">
        <v>2.0920115384064002</v>
      </c>
      <c r="O7">
        <v>2.8449664405156012</v>
      </c>
    </row>
    <row r="8" spans="1:15" x14ac:dyDescent="0.3">
      <c r="A8" t="s">
        <v>17</v>
      </c>
      <c r="B8">
        <v>1</v>
      </c>
      <c r="C8">
        <v>29.91</v>
      </c>
      <c r="D8">
        <v>31.2</v>
      </c>
      <c r="E8">
        <v>30.555</v>
      </c>
      <c r="F8">
        <v>19.2</v>
      </c>
      <c r="G8">
        <v>19.2</v>
      </c>
      <c r="H8">
        <v>19.2</v>
      </c>
      <c r="I8">
        <v>11.355</v>
      </c>
      <c r="J8">
        <v>12.14666666666667</v>
      </c>
      <c r="K8">
        <v>0.6884463184107632</v>
      </c>
      <c r="L8">
        <v>-0.461666666666666</v>
      </c>
      <c r="M8">
        <v>1.3771318246083031</v>
      </c>
      <c r="N8">
        <v>0.86252071917552875</v>
      </c>
      <c r="O8">
        <v>0.44643590411319661</v>
      </c>
    </row>
    <row r="9" spans="1:15" x14ac:dyDescent="0.3">
      <c r="A9" t="s">
        <v>17</v>
      </c>
      <c r="B9">
        <v>2</v>
      </c>
      <c r="C9">
        <v>31.85</v>
      </c>
      <c r="D9">
        <v>31.51</v>
      </c>
      <c r="E9">
        <v>31.68</v>
      </c>
      <c r="F9">
        <v>19.2</v>
      </c>
      <c r="G9">
        <v>19.2</v>
      </c>
      <c r="H9">
        <v>19.2</v>
      </c>
      <c r="I9">
        <v>12.48</v>
      </c>
      <c r="J9">
        <v>12.14666666666667</v>
      </c>
      <c r="K9">
        <v>0.6884463184107632</v>
      </c>
      <c r="L9">
        <v>0.66333333333333577</v>
      </c>
      <c r="M9">
        <v>0.6314177255958191</v>
      </c>
      <c r="N9">
        <v>0.86252071917552875</v>
      </c>
      <c r="O9">
        <v>0.44643590411319661</v>
      </c>
    </row>
    <row r="10" spans="1:15" x14ac:dyDescent="0.3">
      <c r="A10" t="s">
        <v>17</v>
      </c>
      <c r="B10">
        <v>3</v>
      </c>
      <c r="C10">
        <v>31.7</v>
      </c>
      <c r="D10">
        <v>31.91</v>
      </c>
      <c r="E10">
        <v>31.805</v>
      </c>
      <c r="F10">
        <v>19.2</v>
      </c>
      <c r="G10">
        <v>19.2</v>
      </c>
      <c r="H10">
        <v>19.2</v>
      </c>
      <c r="I10">
        <v>12.605</v>
      </c>
      <c r="J10">
        <v>12.14666666666667</v>
      </c>
      <c r="K10">
        <v>0.6884463184107632</v>
      </c>
      <c r="L10">
        <v>0.788333333333334</v>
      </c>
      <c r="M10">
        <v>0.5790126073224644</v>
      </c>
      <c r="N10">
        <v>0.86252071917552875</v>
      </c>
      <c r="O10">
        <v>0.44643590411319661</v>
      </c>
    </row>
    <row r="11" spans="1:15" x14ac:dyDescent="0.3">
      <c r="A11" t="s">
        <v>18</v>
      </c>
      <c r="B11">
        <v>1</v>
      </c>
      <c r="C11">
        <v>31.73</v>
      </c>
      <c r="E11">
        <v>31.73</v>
      </c>
      <c r="F11">
        <v>19.2</v>
      </c>
      <c r="H11">
        <v>19.2</v>
      </c>
      <c r="I11">
        <v>12.53</v>
      </c>
      <c r="J11">
        <v>13.428333333333329</v>
      </c>
      <c r="K11">
        <v>1.3088194426021229</v>
      </c>
      <c r="L11">
        <v>0.71333333333333471</v>
      </c>
      <c r="M11">
        <v>0.60990931988010144</v>
      </c>
      <c r="N11">
        <v>0.4075285797717651</v>
      </c>
      <c r="O11">
        <v>0.25906803225248132</v>
      </c>
    </row>
    <row r="12" spans="1:15" x14ac:dyDescent="0.3">
      <c r="A12" t="s">
        <v>18</v>
      </c>
      <c r="B12">
        <v>2</v>
      </c>
      <c r="C12">
        <v>30.86</v>
      </c>
      <c r="D12">
        <v>33.19</v>
      </c>
      <c r="E12">
        <v>32.024999999999999</v>
      </c>
      <c r="F12">
        <v>19.2</v>
      </c>
      <c r="G12">
        <v>19.2</v>
      </c>
      <c r="H12">
        <v>19.2</v>
      </c>
      <c r="I12">
        <v>12.824999999999999</v>
      </c>
      <c r="J12">
        <v>13.428333333333329</v>
      </c>
      <c r="K12">
        <v>1.3088194426021229</v>
      </c>
      <c r="L12">
        <v>1.0083333333333331</v>
      </c>
      <c r="M12">
        <v>0.49712021190877381</v>
      </c>
      <c r="N12">
        <v>0.4075285797717651</v>
      </c>
      <c r="O12">
        <v>0.25906803225248132</v>
      </c>
    </row>
    <row r="13" spans="1:15" x14ac:dyDescent="0.3">
      <c r="A13" t="s">
        <v>18</v>
      </c>
      <c r="B13">
        <v>3</v>
      </c>
      <c r="C13">
        <v>36.409999999999997</v>
      </c>
      <c r="D13">
        <v>31.85</v>
      </c>
      <c r="E13">
        <v>34.130000000000003</v>
      </c>
      <c r="F13">
        <v>19.2</v>
      </c>
      <c r="G13">
        <v>19.2</v>
      </c>
      <c r="H13">
        <v>19.2</v>
      </c>
      <c r="I13">
        <v>14.93</v>
      </c>
      <c r="J13">
        <v>13.428333333333329</v>
      </c>
      <c r="K13">
        <v>1.3088194426021229</v>
      </c>
      <c r="L13">
        <v>3.1133333333333328</v>
      </c>
      <c r="M13">
        <v>0.11555620752642</v>
      </c>
      <c r="N13">
        <v>0.4075285797717651</v>
      </c>
      <c r="O13">
        <v>0.25906803225248132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1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27.84</v>
      </c>
      <c r="D2">
        <v>29.5</v>
      </c>
      <c r="E2">
        <v>28.67</v>
      </c>
      <c r="F2">
        <v>19.2</v>
      </c>
      <c r="G2">
        <v>19.2</v>
      </c>
      <c r="H2">
        <v>19.2</v>
      </c>
      <c r="I2">
        <v>9.4700000000000006</v>
      </c>
      <c r="J2">
        <v>9.4383333333333344</v>
      </c>
      <c r="K2">
        <v>0.13041600106326459</v>
      </c>
      <c r="L2">
        <v>3.1666666666666288E-2</v>
      </c>
      <c r="M2">
        <v>0.97828948020200124</v>
      </c>
      <c r="N2">
        <v>1.002753908134222</v>
      </c>
      <c r="O2">
        <v>9.1942278004187278E-2</v>
      </c>
    </row>
    <row r="3" spans="1:15" x14ac:dyDescent="0.3">
      <c r="A3" t="s">
        <v>15</v>
      </c>
      <c r="B3">
        <v>2</v>
      </c>
      <c r="C3">
        <v>28.78</v>
      </c>
      <c r="D3">
        <v>28.72</v>
      </c>
      <c r="E3">
        <v>28.75</v>
      </c>
      <c r="F3">
        <v>19.2</v>
      </c>
      <c r="G3">
        <v>19.2</v>
      </c>
      <c r="H3">
        <v>19.2</v>
      </c>
      <c r="I3">
        <v>9.5500000000000007</v>
      </c>
      <c r="J3">
        <v>9.4383333333333344</v>
      </c>
      <c r="K3">
        <v>0.13041600106326459</v>
      </c>
      <c r="L3">
        <v>0.1116666666666664</v>
      </c>
      <c r="M3">
        <v>0.92551824345631173</v>
      </c>
      <c r="N3">
        <v>1.002753908134222</v>
      </c>
      <c r="O3">
        <v>9.1942278004187278E-2</v>
      </c>
    </row>
    <row r="4" spans="1:15" x14ac:dyDescent="0.3">
      <c r="A4" t="s">
        <v>15</v>
      </c>
      <c r="B4">
        <v>3</v>
      </c>
      <c r="C4">
        <v>28.43</v>
      </c>
      <c r="D4">
        <v>28.56</v>
      </c>
      <c r="E4">
        <v>28.495000000000001</v>
      </c>
      <c r="F4">
        <v>19.2</v>
      </c>
      <c r="G4">
        <v>19.2</v>
      </c>
      <c r="H4">
        <v>19.2</v>
      </c>
      <c r="I4">
        <v>9.2949999999999999</v>
      </c>
      <c r="J4">
        <v>9.4383333333333344</v>
      </c>
      <c r="K4">
        <v>0.13041600106326459</v>
      </c>
      <c r="L4">
        <v>-0.1433333333333344</v>
      </c>
      <c r="M4">
        <v>1.104454000744352</v>
      </c>
      <c r="N4">
        <v>1.002753908134222</v>
      </c>
      <c r="O4">
        <v>9.1942278004187278E-2</v>
      </c>
    </row>
    <row r="5" spans="1:15" x14ac:dyDescent="0.3">
      <c r="A5" t="s">
        <v>16</v>
      </c>
      <c r="B5">
        <v>1</v>
      </c>
      <c r="C5">
        <v>30.53</v>
      </c>
      <c r="D5">
        <v>29.74</v>
      </c>
      <c r="E5">
        <v>30.135000000000002</v>
      </c>
      <c r="F5">
        <v>19.2</v>
      </c>
      <c r="G5">
        <v>19.2</v>
      </c>
      <c r="H5">
        <v>19.2</v>
      </c>
      <c r="I5">
        <v>10.935</v>
      </c>
      <c r="J5">
        <v>9.413333333333334</v>
      </c>
      <c r="K5">
        <v>1.3735932197464189</v>
      </c>
      <c r="L5">
        <v>1.4966666666666659</v>
      </c>
      <c r="M5">
        <v>0.3543712168055651</v>
      </c>
      <c r="N5">
        <v>1.309225835506598</v>
      </c>
      <c r="O5">
        <v>0.95050558449519318</v>
      </c>
    </row>
    <row r="6" spans="1:15" x14ac:dyDescent="0.3">
      <c r="A6" t="s">
        <v>16</v>
      </c>
      <c r="B6">
        <v>2</v>
      </c>
      <c r="C6">
        <v>27.45</v>
      </c>
      <c r="D6">
        <v>27.48</v>
      </c>
      <c r="E6">
        <v>27.465</v>
      </c>
      <c r="F6">
        <v>19.2</v>
      </c>
      <c r="G6">
        <v>19.2</v>
      </c>
      <c r="H6">
        <v>19.2</v>
      </c>
      <c r="I6">
        <v>8.2650000000000006</v>
      </c>
      <c r="J6">
        <v>9.413333333333334</v>
      </c>
      <c r="K6">
        <v>1.3735932197464189</v>
      </c>
      <c r="L6">
        <v>-1.173333333333334</v>
      </c>
      <c r="M6">
        <v>2.2553218540916089</v>
      </c>
      <c r="N6">
        <v>1.309225835506598</v>
      </c>
      <c r="O6">
        <v>0.95050558449519318</v>
      </c>
    </row>
    <row r="7" spans="1:15" x14ac:dyDescent="0.3">
      <c r="A7" t="s">
        <v>16</v>
      </c>
      <c r="B7">
        <v>3</v>
      </c>
      <c r="C7">
        <v>28.06</v>
      </c>
      <c r="D7">
        <v>28.42</v>
      </c>
      <c r="E7">
        <v>28.24</v>
      </c>
      <c r="F7">
        <v>19.2</v>
      </c>
      <c r="G7">
        <v>19.2</v>
      </c>
      <c r="H7">
        <v>19.2</v>
      </c>
      <c r="I7">
        <v>9.0400000000000009</v>
      </c>
      <c r="J7">
        <v>9.413333333333334</v>
      </c>
      <c r="K7">
        <v>1.3735932197464189</v>
      </c>
      <c r="L7">
        <v>-0.39833333333333337</v>
      </c>
      <c r="M7">
        <v>1.3179844356226189</v>
      </c>
      <c r="N7">
        <v>1.309225835506598</v>
      </c>
      <c r="O7">
        <v>0.95050558449519318</v>
      </c>
    </row>
    <row r="8" spans="1:15" x14ac:dyDescent="0.3">
      <c r="A8" t="s">
        <v>17</v>
      </c>
      <c r="B8">
        <v>1</v>
      </c>
      <c r="C8">
        <v>26.56</v>
      </c>
      <c r="D8">
        <v>26.73</v>
      </c>
      <c r="E8">
        <v>26.645</v>
      </c>
      <c r="F8">
        <v>19.2</v>
      </c>
      <c r="G8">
        <v>19.2</v>
      </c>
      <c r="H8">
        <v>19.2</v>
      </c>
      <c r="I8">
        <v>7.4450000000000003</v>
      </c>
      <c r="J8">
        <v>6.6933333333333334</v>
      </c>
      <c r="K8">
        <v>1.1578248284318891</v>
      </c>
      <c r="L8">
        <v>-1.9933333333333341</v>
      </c>
      <c r="M8">
        <v>3.981558716412918</v>
      </c>
      <c r="N8">
        <v>8.4512690735825959</v>
      </c>
      <c r="O8">
        <v>7.3147854537755119</v>
      </c>
    </row>
    <row r="9" spans="1:15" x14ac:dyDescent="0.3">
      <c r="A9" t="s">
        <v>17</v>
      </c>
      <c r="B9">
        <v>2</v>
      </c>
      <c r="C9">
        <v>24.49</v>
      </c>
      <c r="D9">
        <v>24.63</v>
      </c>
      <c r="E9">
        <v>24.56</v>
      </c>
      <c r="F9">
        <v>19.2</v>
      </c>
      <c r="G9">
        <v>19.2</v>
      </c>
      <c r="H9">
        <v>19.2</v>
      </c>
      <c r="I9">
        <v>5.3599999999999994</v>
      </c>
      <c r="J9">
        <v>6.6933333333333334</v>
      </c>
      <c r="K9">
        <v>1.1578248284318891</v>
      </c>
      <c r="L9">
        <v>-4.0783333333333349</v>
      </c>
      <c r="M9">
        <v>16.89276208814783</v>
      </c>
      <c r="N9">
        <v>8.4512690735825959</v>
      </c>
      <c r="O9">
        <v>7.3147854537755119</v>
      </c>
    </row>
    <row r="10" spans="1:15" x14ac:dyDescent="0.3">
      <c r="A10" t="s">
        <v>17</v>
      </c>
      <c r="B10">
        <v>3</v>
      </c>
      <c r="C10">
        <v>26.43</v>
      </c>
      <c r="D10">
        <v>26.52</v>
      </c>
      <c r="E10">
        <v>26.475000000000001</v>
      </c>
      <c r="F10">
        <v>19.2</v>
      </c>
      <c r="G10">
        <v>19.2</v>
      </c>
      <c r="H10">
        <v>19.2</v>
      </c>
      <c r="I10">
        <v>7.2750000000000004</v>
      </c>
      <c r="J10">
        <v>6.6933333333333334</v>
      </c>
      <c r="K10">
        <v>1.1578248284318891</v>
      </c>
      <c r="L10">
        <v>-2.163333333333334</v>
      </c>
      <c r="M10">
        <v>4.4794864161870382</v>
      </c>
      <c r="N10">
        <v>8.4512690735825959</v>
      </c>
      <c r="O10">
        <v>7.3147854537755119</v>
      </c>
    </row>
    <row r="11" spans="1:15" x14ac:dyDescent="0.3">
      <c r="A11" t="s">
        <v>18</v>
      </c>
      <c r="B11">
        <v>1</v>
      </c>
      <c r="C11">
        <v>28.83</v>
      </c>
      <c r="D11">
        <v>28.24</v>
      </c>
      <c r="E11">
        <v>28.535</v>
      </c>
      <c r="F11">
        <v>19.2</v>
      </c>
      <c r="G11">
        <v>19.2</v>
      </c>
      <c r="H11">
        <v>19.2</v>
      </c>
      <c r="I11">
        <v>9.3349999999999991</v>
      </c>
      <c r="J11">
        <v>9.9583333333333339</v>
      </c>
      <c r="K11">
        <v>0.67186928292141301</v>
      </c>
      <c r="L11">
        <v>-0.1033333333333353</v>
      </c>
      <c r="M11">
        <v>1.074252648013287</v>
      </c>
      <c r="N11">
        <v>0.74716088767801969</v>
      </c>
      <c r="O11">
        <v>0.32425202999033881</v>
      </c>
    </row>
    <row r="12" spans="1:15" x14ac:dyDescent="0.3">
      <c r="A12" t="s">
        <v>18</v>
      </c>
      <c r="B12">
        <v>2</v>
      </c>
      <c r="C12">
        <v>29.5</v>
      </c>
      <c r="D12">
        <v>30.24</v>
      </c>
      <c r="E12">
        <v>29.87</v>
      </c>
      <c r="F12">
        <v>19.2</v>
      </c>
      <c r="G12">
        <v>19.2</v>
      </c>
      <c r="H12">
        <v>19.2</v>
      </c>
      <c r="I12">
        <v>10.67</v>
      </c>
      <c r="J12">
        <v>9.9583333333333339</v>
      </c>
      <c r="K12">
        <v>0.67186928292141301</v>
      </c>
      <c r="L12">
        <v>1.231666666666666</v>
      </c>
      <c r="M12">
        <v>0.42582522902826248</v>
      </c>
      <c r="N12">
        <v>0.74716088767801969</v>
      </c>
      <c r="O12">
        <v>0.32425202999033881</v>
      </c>
    </row>
    <row r="13" spans="1:15" x14ac:dyDescent="0.3">
      <c r="A13" t="s">
        <v>18</v>
      </c>
      <c r="B13">
        <v>3</v>
      </c>
      <c r="C13">
        <v>29.42</v>
      </c>
      <c r="D13">
        <v>28.72</v>
      </c>
      <c r="E13">
        <v>29.07</v>
      </c>
      <c r="F13">
        <v>19.2</v>
      </c>
      <c r="G13">
        <v>19.2</v>
      </c>
      <c r="H13">
        <v>19.2</v>
      </c>
      <c r="I13">
        <v>9.870000000000001</v>
      </c>
      <c r="J13">
        <v>9.9583333333333339</v>
      </c>
      <c r="K13">
        <v>0.67186928292141301</v>
      </c>
      <c r="L13">
        <v>0.43166666666666659</v>
      </c>
      <c r="M13">
        <v>0.74140478599250947</v>
      </c>
      <c r="N13">
        <v>0.74716088767801969</v>
      </c>
      <c r="O13">
        <v>0.32425202999033881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1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26.85</v>
      </c>
      <c r="D2">
        <v>26.62</v>
      </c>
      <c r="E2">
        <v>26.734999999999999</v>
      </c>
      <c r="F2">
        <v>19.2</v>
      </c>
      <c r="G2">
        <v>19.2</v>
      </c>
      <c r="H2">
        <v>19.2</v>
      </c>
      <c r="I2">
        <v>7.5350000000000019</v>
      </c>
      <c r="J2">
        <v>8.2900000000000009</v>
      </c>
      <c r="K2">
        <v>0.73581587370754586</v>
      </c>
      <c r="L2">
        <v>-0.75499999999999901</v>
      </c>
      <c r="M2">
        <v>1.687631592260034</v>
      </c>
      <c r="N2">
        <v>1.089830557169972</v>
      </c>
      <c r="O2">
        <v>0.54867886807893518</v>
      </c>
    </row>
    <row r="3" spans="1:15" x14ac:dyDescent="0.3">
      <c r="A3" t="s">
        <v>15</v>
      </c>
      <c r="B3">
        <v>2</v>
      </c>
      <c r="C3">
        <v>27.97</v>
      </c>
      <c r="D3">
        <v>28.44</v>
      </c>
      <c r="E3">
        <v>28.204999999999998</v>
      </c>
      <c r="F3">
        <v>19.2</v>
      </c>
      <c r="G3">
        <v>19.2</v>
      </c>
      <c r="H3">
        <v>19.2</v>
      </c>
      <c r="I3">
        <v>9.0050000000000008</v>
      </c>
      <c r="J3">
        <v>8.2900000000000009</v>
      </c>
      <c r="K3">
        <v>0.73581587370754586</v>
      </c>
      <c r="L3">
        <v>0.71499999999999986</v>
      </c>
      <c r="M3">
        <v>0.60920513183759573</v>
      </c>
      <c r="N3">
        <v>1.089830557169972</v>
      </c>
      <c r="O3">
        <v>0.54867886807893518</v>
      </c>
    </row>
    <row r="4" spans="1:15" x14ac:dyDescent="0.3">
      <c r="A4" t="s">
        <v>15</v>
      </c>
      <c r="B4">
        <v>3</v>
      </c>
      <c r="C4">
        <v>27.13</v>
      </c>
      <c r="D4">
        <v>27.93</v>
      </c>
      <c r="E4">
        <v>27.53</v>
      </c>
      <c r="F4">
        <v>19.2</v>
      </c>
      <c r="G4">
        <v>19.2</v>
      </c>
      <c r="H4">
        <v>19.2</v>
      </c>
      <c r="I4">
        <v>8.33</v>
      </c>
      <c r="J4">
        <v>8.2900000000000009</v>
      </c>
      <c r="K4">
        <v>0.73581587370754586</v>
      </c>
      <c r="L4">
        <v>3.9999999999999147E-2</v>
      </c>
      <c r="M4">
        <v>0.97265494741228609</v>
      </c>
      <c r="N4">
        <v>1.089830557169972</v>
      </c>
      <c r="O4">
        <v>0.54867886807893518</v>
      </c>
    </row>
    <row r="5" spans="1:15" x14ac:dyDescent="0.3">
      <c r="A5" t="s">
        <v>16</v>
      </c>
      <c r="B5">
        <v>1</v>
      </c>
      <c r="C5">
        <v>27.99</v>
      </c>
      <c r="D5">
        <v>28.4</v>
      </c>
      <c r="E5">
        <v>28.195</v>
      </c>
      <c r="F5">
        <v>19.2</v>
      </c>
      <c r="G5">
        <v>19.2</v>
      </c>
      <c r="H5">
        <v>19.2</v>
      </c>
      <c r="I5">
        <v>8.9949999999999992</v>
      </c>
      <c r="J5">
        <v>7.0883333333333338</v>
      </c>
      <c r="K5">
        <v>1.6580209085935349</v>
      </c>
      <c r="L5">
        <v>0.70499999999999829</v>
      </c>
      <c r="M5">
        <v>0.61344248862690276</v>
      </c>
      <c r="N5">
        <v>3.1896680103908772</v>
      </c>
      <c r="O5">
        <v>2.2787937359046482</v>
      </c>
    </row>
    <row r="6" spans="1:15" x14ac:dyDescent="0.3">
      <c r="A6" t="s">
        <v>16</v>
      </c>
      <c r="B6">
        <v>2</v>
      </c>
      <c r="C6">
        <v>25.27</v>
      </c>
      <c r="D6">
        <v>25.1</v>
      </c>
      <c r="E6">
        <v>25.184999999999999</v>
      </c>
      <c r="F6">
        <v>19.2</v>
      </c>
      <c r="G6">
        <v>19.2</v>
      </c>
      <c r="H6">
        <v>19.2</v>
      </c>
      <c r="I6">
        <v>5.9850000000000012</v>
      </c>
      <c r="J6">
        <v>7.0883333333333338</v>
      </c>
      <c r="K6">
        <v>1.6580209085935349</v>
      </c>
      <c r="L6">
        <v>-2.3050000000000002</v>
      </c>
      <c r="M6">
        <v>4.9416745485077156</v>
      </c>
      <c r="N6">
        <v>3.1896680103908772</v>
      </c>
      <c r="O6">
        <v>2.2787937359046482</v>
      </c>
    </row>
    <row r="7" spans="1:15" x14ac:dyDescent="0.3">
      <c r="A7" t="s">
        <v>16</v>
      </c>
      <c r="B7">
        <v>3</v>
      </c>
      <c r="C7">
        <v>25.61</v>
      </c>
      <c r="D7">
        <v>25.36</v>
      </c>
      <c r="E7">
        <v>25.484999999999999</v>
      </c>
      <c r="F7">
        <v>19.2</v>
      </c>
      <c r="G7">
        <v>19.2</v>
      </c>
      <c r="H7">
        <v>19.2</v>
      </c>
      <c r="I7">
        <v>6.2850000000000001</v>
      </c>
      <c r="J7">
        <v>7.0883333333333338</v>
      </c>
      <c r="K7">
        <v>1.6580209085935349</v>
      </c>
      <c r="L7">
        <v>-2.0050000000000008</v>
      </c>
      <c r="M7">
        <v>4.0138869940380131</v>
      </c>
      <c r="N7">
        <v>3.1896680103908772</v>
      </c>
      <c r="O7">
        <v>2.2787937359046482</v>
      </c>
    </row>
    <row r="8" spans="1:15" x14ac:dyDescent="0.3">
      <c r="A8" t="s">
        <v>17</v>
      </c>
      <c r="B8">
        <v>1</v>
      </c>
      <c r="C8">
        <v>24.19</v>
      </c>
      <c r="D8">
        <v>23.58</v>
      </c>
      <c r="E8">
        <v>23.885000000000002</v>
      </c>
      <c r="F8">
        <v>19.2</v>
      </c>
      <c r="G8">
        <v>19.2</v>
      </c>
      <c r="H8">
        <v>19.2</v>
      </c>
      <c r="I8">
        <v>4.6849999999999996</v>
      </c>
      <c r="J8">
        <v>3.933333333333334</v>
      </c>
      <c r="K8">
        <v>0.81028287241760988</v>
      </c>
      <c r="L8">
        <v>-3.605</v>
      </c>
      <c r="M8">
        <v>12.16783002592808</v>
      </c>
      <c r="N8">
        <v>22.779223042083562</v>
      </c>
      <c r="O8">
        <v>12.90315726895718</v>
      </c>
    </row>
    <row r="9" spans="1:15" x14ac:dyDescent="0.3">
      <c r="A9" t="s">
        <v>17</v>
      </c>
      <c r="B9">
        <v>2</v>
      </c>
      <c r="C9">
        <v>23.24</v>
      </c>
      <c r="D9">
        <v>23.24</v>
      </c>
      <c r="E9">
        <v>23.24</v>
      </c>
      <c r="F9">
        <v>19.2</v>
      </c>
      <c r="G9">
        <v>19.2</v>
      </c>
      <c r="H9">
        <v>19.2</v>
      </c>
      <c r="I9">
        <v>4.0399999999999991</v>
      </c>
      <c r="J9">
        <v>3.933333333333334</v>
      </c>
      <c r="K9">
        <v>0.81028287241760988</v>
      </c>
      <c r="L9">
        <v>-4.2500000000000018</v>
      </c>
      <c r="M9">
        <v>19.027313840043561</v>
      </c>
      <c r="N9">
        <v>22.779223042083562</v>
      </c>
      <c r="O9">
        <v>12.90315726895718</v>
      </c>
    </row>
    <row r="10" spans="1:15" x14ac:dyDescent="0.3">
      <c r="A10" t="s">
        <v>17</v>
      </c>
      <c r="B10">
        <v>3</v>
      </c>
      <c r="C10">
        <v>22.2</v>
      </c>
      <c r="D10">
        <v>22.35</v>
      </c>
      <c r="E10">
        <v>22.274999999999999</v>
      </c>
      <c r="F10">
        <v>19.2</v>
      </c>
      <c r="G10">
        <v>19.2</v>
      </c>
      <c r="H10">
        <v>19.2</v>
      </c>
      <c r="I10">
        <v>3.0750000000000011</v>
      </c>
      <c r="J10">
        <v>3.933333333333334</v>
      </c>
      <c r="K10">
        <v>0.81028287241760988</v>
      </c>
      <c r="L10">
        <v>-5.2149999999999999</v>
      </c>
      <c r="M10">
        <v>37.142525260279037</v>
      </c>
      <c r="N10">
        <v>22.779223042083562</v>
      </c>
      <c r="O10">
        <v>12.90315726895718</v>
      </c>
    </row>
    <row r="11" spans="1:15" x14ac:dyDescent="0.3">
      <c r="A11" t="s">
        <v>18</v>
      </c>
      <c r="B11">
        <v>1</v>
      </c>
      <c r="C11">
        <v>27.05</v>
      </c>
      <c r="D11">
        <v>26.96</v>
      </c>
      <c r="E11">
        <v>27.004999999999999</v>
      </c>
      <c r="F11">
        <v>19.2</v>
      </c>
      <c r="G11">
        <v>19.2</v>
      </c>
      <c r="H11">
        <v>19.2</v>
      </c>
      <c r="I11">
        <v>7.8050000000000006</v>
      </c>
      <c r="J11">
        <v>7.9366666666666683</v>
      </c>
      <c r="K11">
        <v>0.75120458820040026</v>
      </c>
      <c r="L11">
        <v>-0.48499999999999938</v>
      </c>
      <c r="M11">
        <v>1.3995858655951949</v>
      </c>
      <c r="N11">
        <v>1.39037342970989</v>
      </c>
      <c r="O11">
        <v>0.65630553389229129</v>
      </c>
    </row>
    <row r="12" spans="1:15" x14ac:dyDescent="0.3">
      <c r="A12" t="s">
        <v>18</v>
      </c>
      <c r="B12">
        <v>2</v>
      </c>
      <c r="C12">
        <v>27.89</v>
      </c>
      <c r="D12">
        <v>28</v>
      </c>
      <c r="E12">
        <v>27.945</v>
      </c>
      <c r="F12">
        <v>19.2</v>
      </c>
      <c r="G12">
        <v>19.2</v>
      </c>
      <c r="H12">
        <v>19.2</v>
      </c>
      <c r="I12">
        <v>8.745000000000001</v>
      </c>
      <c r="J12">
        <v>7.9366666666666683</v>
      </c>
      <c r="K12">
        <v>0.75120458820040026</v>
      </c>
      <c r="L12">
        <v>0.45500000000000013</v>
      </c>
      <c r="M12">
        <v>0.72951017212008762</v>
      </c>
      <c r="N12">
        <v>1.39037342970989</v>
      </c>
      <c r="O12">
        <v>0.65630553389229129</v>
      </c>
    </row>
    <row r="13" spans="1:15" x14ac:dyDescent="0.3">
      <c r="A13" t="s">
        <v>18</v>
      </c>
      <c r="B13">
        <v>3</v>
      </c>
      <c r="C13">
        <v>26.12</v>
      </c>
      <c r="D13">
        <v>26.8</v>
      </c>
      <c r="E13">
        <v>26.46</v>
      </c>
      <c r="F13">
        <v>19.2</v>
      </c>
      <c r="G13">
        <v>19.2</v>
      </c>
      <c r="H13">
        <v>19.2</v>
      </c>
      <c r="I13">
        <v>7.2600000000000016</v>
      </c>
      <c r="J13">
        <v>7.9366666666666683</v>
      </c>
      <c r="K13">
        <v>0.75120458820040026</v>
      </c>
      <c r="L13">
        <v>-1.0299999999999989</v>
      </c>
      <c r="M13">
        <v>2.0420242514143858</v>
      </c>
      <c r="N13">
        <v>1.39037342970989</v>
      </c>
      <c r="O13">
        <v>0.65630553389229129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O1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25.96</v>
      </c>
      <c r="D2">
        <v>25.96</v>
      </c>
      <c r="E2">
        <v>25.96</v>
      </c>
      <c r="F2">
        <v>19.2</v>
      </c>
      <c r="G2">
        <v>19.2</v>
      </c>
      <c r="H2">
        <v>19.2</v>
      </c>
      <c r="I2">
        <v>6.7600000000000016</v>
      </c>
      <c r="J2">
        <v>7.8450000000000006</v>
      </c>
      <c r="K2">
        <v>1.255378429000594</v>
      </c>
      <c r="L2">
        <v>-1.0849999999999991</v>
      </c>
      <c r="M2">
        <v>2.1213754827364331</v>
      </c>
      <c r="N2">
        <v>1.2431894889268289</v>
      </c>
      <c r="O2">
        <v>0.8680938199961632</v>
      </c>
    </row>
    <row r="3" spans="1:15" x14ac:dyDescent="0.3">
      <c r="A3" t="s">
        <v>15</v>
      </c>
      <c r="B3">
        <v>2</v>
      </c>
      <c r="C3">
        <v>28.56</v>
      </c>
      <c r="D3">
        <v>28.28</v>
      </c>
      <c r="E3">
        <v>28.42</v>
      </c>
      <c r="F3">
        <v>19.2</v>
      </c>
      <c r="G3">
        <v>19.2</v>
      </c>
      <c r="H3">
        <v>19.2</v>
      </c>
      <c r="I3">
        <v>9.2200000000000006</v>
      </c>
      <c r="J3">
        <v>7.8450000000000006</v>
      </c>
      <c r="K3">
        <v>1.255378429000594</v>
      </c>
      <c r="L3">
        <v>1.375</v>
      </c>
      <c r="M3">
        <v>0.38555270635198519</v>
      </c>
      <c r="N3">
        <v>1.2431894889268289</v>
      </c>
      <c r="O3">
        <v>0.8680938199961632</v>
      </c>
    </row>
    <row r="4" spans="1:15" x14ac:dyDescent="0.3">
      <c r="A4" t="s">
        <v>15</v>
      </c>
      <c r="B4">
        <v>3</v>
      </c>
      <c r="C4">
        <v>26.88</v>
      </c>
      <c r="D4">
        <v>26.63</v>
      </c>
      <c r="E4">
        <v>26.754999999999999</v>
      </c>
      <c r="F4">
        <v>19.2</v>
      </c>
      <c r="G4">
        <v>19.2</v>
      </c>
      <c r="H4">
        <v>19.2</v>
      </c>
      <c r="I4">
        <v>7.5549999999999997</v>
      </c>
      <c r="J4">
        <v>7.8450000000000006</v>
      </c>
      <c r="K4">
        <v>1.255378429000594</v>
      </c>
      <c r="L4">
        <v>-0.29000000000000092</v>
      </c>
      <c r="M4">
        <v>1.2226402776920691</v>
      </c>
      <c r="N4">
        <v>1.2431894889268289</v>
      </c>
      <c r="O4">
        <v>0.8680938199961632</v>
      </c>
    </row>
    <row r="5" spans="1:15" x14ac:dyDescent="0.3">
      <c r="A5" t="s">
        <v>16</v>
      </c>
      <c r="B5">
        <v>1</v>
      </c>
      <c r="C5">
        <v>28.14</v>
      </c>
      <c r="D5">
        <v>28.11</v>
      </c>
      <c r="E5">
        <v>28.125</v>
      </c>
      <c r="F5">
        <v>19.2</v>
      </c>
      <c r="G5">
        <v>19.2</v>
      </c>
      <c r="H5">
        <v>19.2</v>
      </c>
      <c r="I5">
        <v>8.9250000000000007</v>
      </c>
      <c r="J5">
        <v>8.8633333333333351</v>
      </c>
      <c r="K5">
        <v>0.24343034595820959</v>
      </c>
      <c r="L5">
        <v>1.08</v>
      </c>
      <c r="M5">
        <v>0.47302882336279789</v>
      </c>
      <c r="N5">
        <v>0.49847663123515312</v>
      </c>
      <c r="O5">
        <v>8.6265620776266899E-2</v>
      </c>
    </row>
    <row r="6" spans="1:15" x14ac:dyDescent="0.3">
      <c r="A6" t="s">
        <v>16</v>
      </c>
      <c r="B6">
        <v>2</v>
      </c>
      <c r="C6">
        <v>28.37</v>
      </c>
      <c r="D6">
        <v>28.17</v>
      </c>
      <c r="E6">
        <v>28.27</v>
      </c>
      <c r="F6">
        <v>19.2</v>
      </c>
      <c r="G6">
        <v>19.2</v>
      </c>
      <c r="H6">
        <v>19.2</v>
      </c>
      <c r="I6">
        <v>9.0700000000000021</v>
      </c>
      <c r="J6">
        <v>8.8633333333333351</v>
      </c>
      <c r="K6">
        <v>0.24343034595820959</v>
      </c>
      <c r="L6">
        <v>1.225000000000001</v>
      </c>
      <c r="M6">
        <v>0.42779751284130069</v>
      </c>
      <c r="N6">
        <v>0.49847663123515312</v>
      </c>
      <c r="O6">
        <v>8.6265620776266899E-2</v>
      </c>
    </row>
    <row r="7" spans="1:15" x14ac:dyDescent="0.3">
      <c r="A7" t="s">
        <v>16</v>
      </c>
      <c r="B7">
        <v>3</v>
      </c>
      <c r="C7">
        <v>27.45</v>
      </c>
      <c r="D7">
        <v>28.14</v>
      </c>
      <c r="E7">
        <v>27.795000000000002</v>
      </c>
      <c r="F7">
        <v>19.2</v>
      </c>
      <c r="G7">
        <v>19.2</v>
      </c>
      <c r="H7">
        <v>19.2</v>
      </c>
      <c r="I7">
        <v>8.5950000000000006</v>
      </c>
      <c r="J7">
        <v>8.8633333333333351</v>
      </c>
      <c r="K7">
        <v>0.24343034595820959</v>
      </c>
      <c r="L7">
        <v>0.75</v>
      </c>
      <c r="M7">
        <v>0.59460355750136051</v>
      </c>
      <c r="N7">
        <v>0.49847663123515312</v>
      </c>
      <c r="O7">
        <v>8.6265620776266899E-2</v>
      </c>
    </row>
    <row r="8" spans="1:15" x14ac:dyDescent="0.3">
      <c r="A8" t="s">
        <v>17</v>
      </c>
      <c r="B8">
        <v>1</v>
      </c>
      <c r="C8">
        <v>27.7</v>
      </c>
      <c r="D8">
        <v>27.68</v>
      </c>
      <c r="E8">
        <v>27.69</v>
      </c>
      <c r="F8">
        <v>19.2</v>
      </c>
      <c r="G8">
        <v>19.2</v>
      </c>
      <c r="H8">
        <v>19.2</v>
      </c>
      <c r="I8">
        <v>8.49</v>
      </c>
      <c r="J8">
        <v>8.4216666666666669</v>
      </c>
      <c r="K8">
        <v>0.42167325423049179</v>
      </c>
      <c r="L8">
        <v>0.64499999999999957</v>
      </c>
      <c r="M8">
        <v>0.63949279063871456</v>
      </c>
      <c r="N8">
        <v>0.69018458239047309</v>
      </c>
      <c r="O8">
        <v>0.2062009715840537</v>
      </c>
    </row>
    <row r="9" spans="1:15" x14ac:dyDescent="0.3">
      <c r="A9" t="s">
        <v>17</v>
      </c>
      <c r="B9">
        <v>2</v>
      </c>
      <c r="C9">
        <v>27.04</v>
      </c>
      <c r="D9">
        <v>27.3</v>
      </c>
      <c r="E9">
        <v>27.17</v>
      </c>
      <c r="F9">
        <v>19.2</v>
      </c>
      <c r="G9">
        <v>19.2</v>
      </c>
      <c r="H9">
        <v>19.2</v>
      </c>
      <c r="I9">
        <v>7.9700000000000006</v>
      </c>
      <c r="J9">
        <v>8.4216666666666669</v>
      </c>
      <c r="K9">
        <v>0.42167325423049179</v>
      </c>
      <c r="L9">
        <v>0.125</v>
      </c>
      <c r="M9">
        <v>0.91700404320467122</v>
      </c>
      <c r="N9">
        <v>0.69018458239047309</v>
      </c>
      <c r="O9">
        <v>0.2062009715840537</v>
      </c>
    </row>
    <row r="10" spans="1:15" x14ac:dyDescent="0.3">
      <c r="A10" t="s">
        <v>17</v>
      </c>
      <c r="B10">
        <v>3</v>
      </c>
      <c r="C10">
        <v>28.06</v>
      </c>
      <c r="D10">
        <v>27.95</v>
      </c>
      <c r="E10">
        <v>28.004999999999999</v>
      </c>
      <c r="F10">
        <v>19.2</v>
      </c>
      <c r="G10">
        <v>19.2</v>
      </c>
      <c r="H10">
        <v>19.2</v>
      </c>
      <c r="I10">
        <v>8.8049999999999997</v>
      </c>
      <c r="J10">
        <v>8.4216666666666669</v>
      </c>
      <c r="K10">
        <v>0.42167325423049179</v>
      </c>
      <c r="L10">
        <v>0.95999999999999908</v>
      </c>
      <c r="M10">
        <v>0.5140569133280336</v>
      </c>
      <c r="N10">
        <v>0.69018458239047309</v>
      </c>
      <c r="O10">
        <v>0.2062009715840537</v>
      </c>
    </row>
    <row r="11" spans="1:15" x14ac:dyDescent="0.3">
      <c r="A11" t="s">
        <v>18</v>
      </c>
      <c r="B11">
        <v>1</v>
      </c>
      <c r="C11">
        <v>29.79</v>
      </c>
      <c r="D11">
        <v>28.85</v>
      </c>
      <c r="E11">
        <v>29.32</v>
      </c>
      <c r="F11">
        <v>19.2</v>
      </c>
      <c r="G11">
        <v>19.2</v>
      </c>
      <c r="H11">
        <v>19.2</v>
      </c>
      <c r="I11">
        <v>10.119999999999999</v>
      </c>
      <c r="J11">
        <v>10.04833333333333</v>
      </c>
      <c r="K11">
        <v>0.64051411642003231</v>
      </c>
      <c r="L11">
        <v>2.2749999999999999</v>
      </c>
      <c r="M11">
        <v>0.20661257953855289</v>
      </c>
      <c r="N11">
        <v>0.23199348888037319</v>
      </c>
      <c r="O11">
        <v>0.1039440552072516</v>
      </c>
    </row>
    <row r="12" spans="1:15" x14ac:dyDescent="0.3">
      <c r="A12" t="s">
        <v>18</v>
      </c>
      <c r="B12">
        <v>2</v>
      </c>
      <c r="C12">
        <v>29.85</v>
      </c>
      <c r="D12">
        <v>29.85</v>
      </c>
      <c r="E12">
        <v>29.85</v>
      </c>
      <c r="F12">
        <v>19.2</v>
      </c>
      <c r="G12">
        <v>19.2</v>
      </c>
      <c r="H12">
        <v>19.2</v>
      </c>
      <c r="I12">
        <v>10.65</v>
      </c>
      <c r="J12">
        <v>10.04833333333333</v>
      </c>
      <c r="K12">
        <v>0.64051411642003231</v>
      </c>
      <c r="L12">
        <v>2.805000000000001</v>
      </c>
      <c r="M12">
        <v>0.14309052007483539</v>
      </c>
      <c r="N12">
        <v>0.23199348888037319</v>
      </c>
      <c r="O12">
        <v>0.1039440552072516</v>
      </c>
    </row>
    <row r="13" spans="1:15" x14ac:dyDescent="0.3">
      <c r="A13" t="s">
        <v>18</v>
      </c>
      <c r="B13">
        <v>3</v>
      </c>
      <c r="C13">
        <v>28.82</v>
      </c>
      <c r="D13">
        <v>28.33</v>
      </c>
      <c r="E13">
        <v>28.574999999999999</v>
      </c>
      <c r="F13">
        <v>19.2</v>
      </c>
      <c r="G13">
        <v>19.2</v>
      </c>
      <c r="H13">
        <v>19.2</v>
      </c>
      <c r="I13">
        <v>9.375</v>
      </c>
      <c r="J13">
        <v>10.04833333333333</v>
      </c>
      <c r="K13">
        <v>0.64051411642003231</v>
      </c>
      <c r="L13">
        <v>1.5299999999999989</v>
      </c>
      <c r="M13">
        <v>0.34627736702773132</v>
      </c>
      <c r="N13">
        <v>0.23199348888037319</v>
      </c>
      <c r="O13">
        <v>0.1039440552072516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O7"/>
  <sheetViews>
    <sheetView workbookViewId="0">
      <selection activeCell="F23" sqref="F23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17</v>
      </c>
      <c r="B2">
        <v>1</v>
      </c>
      <c r="C2">
        <v>29</v>
      </c>
      <c r="D2">
        <v>29.35</v>
      </c>
      <c r="E2">
        <v>29.175000000000001</v>
      </c>
      <c r="F2">
        <v>19.2</v>
      </c>
      <c r="G2">
        <v>19.2</v>
      </c>
      <c r="H2">
        <v>19.2</v>
      </c>
      <c r="I2">
        <v>9.9750000000000014</v>
      </c>
      <c r="J2">
        <v>9.3333333333333339</v>
      </c>
      <c r="K2">
        <v>0.58185765727825101</v>
      </c>
      <c r="L2">
        <f>(I5-I2)</f>
        <v>0.31499999999999773</v>
      </c>
      <c r="M2">
        <f>2^(-L2)</f>
        <v>0.80385099074315269</v>
      </c>
      <c r="N2">
        <f>AVERAGE(M2:M4)</f>
        <v>1.232331917934322</v>
      </c>
      <c r="O2">
        <f>_xlfn.T.TEST(I2:I4,I5:I7,2,3)</f>
        <v>0.83369656686218163</v>
      </c>
    </row>
    <row r="3" spans="1:15" x14ac:dyDescent="0.3">
      <c r="A3" t="s">
        <v>17</v>
      </c>
      <c r="B3">
        <v>2</v>
      </c>
      <c r="C3">
        <v>28.78</v>
      </c>
      <c r="D3">
        <v>27.99</v>
      </c>
      <c r="E3">
        <v>28.385000000000002</v>
      </c>
      <c r="F3">
        <v>19.2</v>
      </c>
      <c r="G3">
        <v>19.2</v>
      </c>
      <c r="H3">
        <v>19.2</v>
      </c>
      <c r="I3">
        <v>9.1850000000000005</v>
      </c>
      <c r="J3">
        <v>9.3333333333333339</v>
      </c>
      <c r="K3">
        <v>0.58185765727825067</v>
      </c>
      <c r="L3">
        <f>(I6-I3)</f>
        <v>0.13000000000000078</v>
      </c>
      <c r="M3">
        <f t="shared" ref="M3" si="0">2^(-L3)</f>
        <v>0.91383145022940004</v>
      </c>
    </row>
    <row r="4" spans="1:15" x14ac:dyDescent="0.3">
      <c r="A4" t="s">
        <v>17</v>
      </c>
      <c r="B4">
        <v>3</v>
      </c>
      <c r="C4">
        <v>28.11</v>
      </c>
      <c r="D4">
        <v>27.97</v>
      </c>
      <c r="E4">
        <v>28.04</v>
      </c>
      <c r="F4">
        <v>19.2</v>
      </c>
      <c r="G4">
        <v>19.2</v>
      </c>
      <c r="H4">
        <v>19.2</v>
      </c>
      <c r="I4">
        <v>8.84</v>
      </c>
      <c r="J4">
        <v>9.3333333333333339</v>
      </c>
      <c r="K4">
        <v>0.58185765727825067</v>
      </c>
      <c r="L4">
        <f>(I7-I4)</f>
        <v>-0.98499999999999943</v>
      </c>
      <c r="M4">
        <f>2^(-L4)</f>
        <v>1.979313312830413</v>
      </c>
    </row>
    <row r="5" spans="1:15" x14ac:dyDescent="0.3">
      <c r="A5" t="s">
        <v>18</v>
      </c>
      <c r="B5">
        <v>1</v>
      </c>
      <c r="C5">
        <v>29.16</v>
      </c>
      <c r="D5">
        <v>29.82</v>
      </c>
      <c r="E5">
        <v>29.49</v>
      </c>
      <c r="F5">
        <v>19.2</v>
      </c>
      <c r="G5">
        <v>19.2</v>
      </c>
      <c r="H5">
        <v>19.2</v>
      </c>
      <c r="I5">
        <v>10.29</v>
      </c>
      <c r="J5">
        <v>9.1533333333333342</v>
      </c>
      <c r="K5">
        <v>1.2255236975812971</v>
      </c>
    </row>
    <row r="6" spans="1:15" x14ac:dyDescent="0.3">
      <c r="A6" t="s">
        <v>18</v>
      </c>
      <c r="B6">
        <v>2</v>
      </c>
      <c r="C6">
        <v>28.43</v>
      </c>
      <c r="D6">
        <v>28.6</v>
      </c>
      <c r="E6">
        <v>28.515000000000001</v>
      </c>
      <c r="F6">
        <v>19.2</v>
      </c>
      <c r="G6">
        <v>19.2</v>
      </c>
      <c r="H6">
        <v>19.2</v>
      </c>
      <c r="I6">
        <v>9.3150000000000013</v>
      </c>
      <c r="J6">
        <v>9.1533333333333342</v>
      </c>
      <c r="K6">
        <v>1.2255236975812971</v>
      </c>
    </row>
    <row r="7" spans="1:15" x14ac:dyDescent="0.3">
      <c r="A7" t="s">
        <v>18</v>
      </c>
      <c r="B7">
        <v>3</v>
      </c>
      <c r="C7">
        <v>26.79</v>
      </c>
      <c r="D7">
        <v>27.32</v>
      </c>
      <c r="E7">
        <v>27.055</v>
      </c>
      <c r="F7">
        <v>19.2</v>
      </c>
      <c r="G7">
        <v>19.2</v>
      </c>
      <c r="H7">
        <v>19.2</v>
      </c>
      <c r="I7">
        <v>7.8550000000000004</v>
      </c>
      <c r="J7">
        <v>9.1533333333333342</v>
      </c>
      <c r="K7">
        <v>1.2255236975812971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O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3</v>
      </c>
      <c r="C2">
        <v>32.130000000000003</v>
      </c>
      <c r="E2">
        <v>32.130000000000003</v>
      </c>
      <c r="F2">
        <v>19.2</v>
      </c>
      <c r="H2">
        <v>19.2</v>
      </c>
      <c r="I2">
        <v>12.93</v>
      </c>
      <c r="J2">
        <v>12.93</v>
      </c>
      <c r="L2">
        <v>0</v>
      </c>
      <c r="M2">
        <v>1</v>
      </c>
      <c r="N2">
        <v>1</v>
      </c>
    </row>
    <row r="3" spans="1:15" x14ac:dyDescent="0.3">
      <c r="A3" t="s">
        <v>16</v>
      </c>
      <c r="B3">
        <v>3</v>
      </c>
      <c r="C3">
        <v>33.29</v>
      </c>
      <c r="E3">
        <v>33.29</v>
      </c>
      <c r="F3">
        <v>19.2</v>
      </c>
      <c r="H3">
        <v>19.2</v>
      </c>
      <c r="I3">
        <v>14.09</v>
      </c>
      <c r="J3">
        <v>14.09</v>
      </c>
      <c r="L3">
        <v>1.159999999999997</v>
      </c>
      <c r="M3">
        <v>0.44751253546398728</v>
      </c>
      <c r="N3">
        <v>0.44751253546398728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O6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32.49</v>
      </c>
      <c r="D2">
        <v>32.380000000000003</v>
      </c>
      <c r="E2">
        <v>32.435000000000002</v>
      </c>
      <c r="F2">
        <v>19.2</v>
      </c>
      <c r="G2">
        <v>19.2</v>
      </c>
      <c r="H2">
        <v>19.2</v>
      </c>
      <c r="I2">
        <v>13.234999999999999</v>
      </c>
      <c r="J2">
        <v>14.8825</v>
      </c>
      <c r="K2">
        <v>2.32991684400967</v>
      </c>
      <c r="L2">
        <v>-1.6474999999999971</v>
      </c>
      <c r="M2">
        <v>3.132902778260187</v>
      </c>
      <c r="N2">
        <v>1.7260477875467941</v>
      </c>
      <c r="O2">
        <v>1.9895934081591551</v>
      </c>
    </row>
    <row r="3" spans="1:15" x14ac:dyDescent="0.3">
      <c r="A3" t="s">
        <v>15</v>
      </c>
      <c r="B3">
        <v>3</v>
      </c>
      <c r="C3">
        <v>35.729999999999997</v>
      </c>
      <c r="E3">
        <v>35.729999999999997</v>
      </c>
      <c r="F3">
        <v>19.2</v>
      </c>
      <c r="H3">
        <v>19.2</v>
      </c>
      <c r="I3">
        <v>16.53</v>
      </c>
      <c r="J3">
        <v>14.8825</v>
      </c>
      <c r="K3">
        <v>2.32991684400967</v>
      </c>
      <c r="L3">
        <v>1.6474999999999971</v>
      </c>
      <c r="M3">
        <v>0.31919279683340063</v>
      </c>
      <c r="N3">
        <v>1.7260477875467941</v>
      </c>
      <c r="O3">
        <v>1.9895934081591551</v>
      </c>
    </row>
    <row r="4" spans="1:15" x14ac:dyDescent="0.3">
      <c r="A4" t="s">
        <v>16</v>
      </c>
      <c r="B4">
        <v>1</v>
      </c>
      <c r="C4">
        <v>32.39</v>
      </c>
      <c r="E4">
        <v>32.39</v>
      </c>
      <c r="F4">
        <v>19.2</v>
      </c>
      <c r="H4">
        <v>19.2</v>
      </c>
      <c r="I4">
        <v>13.19</v>
      </c>
      <c r="J4">
        <v>14.845000000000001</v>
      </c>
      <c r="K4">
        <v>2.3405234457274742</v>
      </c>
      <c r="L4">
        <v>-1.692499999999999</v>
      </c>
      <c r="M4">
        <v>3.2321630987175332</v>
      </c>
      <c r="N4">
        <v>1.7790314073614131</v>
      </c>
      <c r="O4">
        <v>2.0550385458299791</v>
      </c>
    </row>
    <row r="5" spans="1:15" x14ac:dyDescent="0.3">
      <c r="A5" t="s">
        <v>16</v>
      </c>
      <c r="B5">
        <v>2</v>
      </c>
      <c r="C5">
        <v>35.700000000000003</v>
      </c>
      <c r="E5">
        <v>35.700000000000003</v>
      </c>
      <c r="F5">
        <v>19.2</v>
      </c>
      <c r="H5">
        <v>19.2</v>
      </c>
      <c r="I5">
        <v>16.5</v>
      </c>
      <c r="J5">
        <v>14.845000000000001</v>
      </c>
      <c r="K5">
        <v>2.3405234457274742</v>
      </c>
      <c r="L5">
        <v>1.617500000000003</v>
      </c>
      <c r="M5">
        <v>0.32589971600529333</v>
      </c>
      <c r="N5">
        <v>1.7790314073614131</v>
      </c>
      <c r="O5">
        <v>2.0550385458299791</v>
      </c>
    </row>
    <row r="6" spans="1:15" x14ac:dyDescent="0.3">
      <c r="A6" t="s">
        <v>17</v>
      </c>
      <c r="B6">
        <v>2</v>
      </c>
      <c r="C6">
        <v>33.26</v>
      </c>
      <c r="E6">
        <v>33.26</v>
      </c>
      <c r="F6">
        <v>19.2</v>
      </c>
      <c r="H6">
        <v>19.2</v>
      </c>
      <c r="I6">
        <v>14.06</v>
      </c>
      <c r="J6">
        <v>14.06</v>
      </c>
      <c r="L6">
        <v>-0.82250000000000156</v>
      </c>
      <c r="M6">
        <v>1.768467860186999</v>
      </c>
      <c r="N6">
        <v>1.768467860186999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COL15A1</vt:lpstr>
      <vt:lpstr>DNAJA4</vt:lpstr>
      <vt:lpstr>HSPH1</vt:lpstr>
      <vt:lpstr>LOC107049986</vt:lpstr>
      <vt:lpstr>GADD45G</vt:lpstr>
      <vt:lpstr>SPHKAP</vt:lpstr>
      <vt:lpstr>VGLL3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Shahatit</cp:lastModifiedBy>
  <dcterms:created xsi:type="dcterms:W3CDTF">2026-01-22T15:19:24Z</dcterms:created>
  <dcterms:modified xsi:type="dcterms:W3CDTF">2026-01-27T22:39:59Z</dcterms:modified>
</cp:coreProperties>
</file>